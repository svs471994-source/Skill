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7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struments" sheetId="2" state="visible" r:id="rId4"/>
    <sheet name="Layout" sheetId="3" state="visible" r:id="rId5"/>
    <sheet name="A1_Growth_Intervals" sheetId="4" state="visible" r:id="rId6"/>
    <sheet name="A2_Growth_Harvest" sheetId="5" state="visible" r:id="rId7"/>
    <sheet name="Std_Curves" sheetId="6" state="visible" r:id="rId8"/>
    <sheet name="A3_Pigments" sheetId="7" state="visible" r:id="rId9"/>
    <sheet name="A4_Osmo_Oxidative" sheetId="8" state="visible" r:id="rId10"/>
    <sheet name="A5_Enzymes" sheetId="9" state="visible" r:id="rId11"/>
    <sheet name="A6_Ions" sheetId="10" state="visible" r:id="rId12"/>
    <sheet name="A7_GasExchange" sheetId="11" state="visible" r:id="rId13"/>
    <sheet name="B_Minimal" sheetId="12" state="visible" r:id="rId14"/>
    <sheet name="Summary" sheetId="13" state="visible" r:id="rId15"/>
    <sheet name="Timelin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Base of shoot to tip of the tallest leaf, cm</t>
        </r>
      </text>
    </comment>
    <comment ref="G5" authorId="0">
      <text>
        <r>
          <rPr>
            <sz val="10"/>
            <rFont val="Arial"/>
            <family val="2"/>
          </rPr>
          <t xml:space="preserve">Number of fully emerged leaves per plant</t>
        </r>
      </text>
    </comment>
    <comment ref="H5" authorId="0">
      <text>
        <r>
          <rPr>
            <sz val="10"/>
            <rFont val="Arial"/>
            <family val="2"/>
          </rPr>
          <t xml:space="preserve">Base of shoot to tip of the tallest leaf, cm</t>
        </r>
      </text>
    </comment>
    <comment ref="I5" authorId="0">
      <text>
        <r>
          <rPr>
            <sz val="10"/>
            <rFont val="Arial"/>
            <family val="2"/>
          </rPr>
          <t xml:space="preserve">Number of fully emerged leaves per plant</t>
        </r>
      </text>
    </comment>
    <comment ref="J5" authorId="0">
      <text>
        <r>
          <rPr>
            <sz val="10"/>
            <rFont val="Arial"/>
            <family val="2"/>
          </rPr>
          <t xml:space="preserve">Base of shoot to tip of the tallest leaf, cm</t>
        </r>
      </text>
    </comment>
    <comment ref="K5" authorId="0">
      <text>
        <r>
          <rPr>
            <sz val="10"/>
            <rFont val="Arial"/>
            <family val="2"/>
          </rPr>
          <t xml:space="preserve">Number of fully emerged leaves per plant</t>
        </r>
      </text>
    </comment>
    <comment ref="L5" authorId="0">
      <text>
        <r>
          <rPr>
            <sz val="10"/>
            <rFont val="Arial"/>
            <family val="2"/>
          </rPr>
          <t xml:space="preserve">Base of shoot to tip of the tallest leaf, cm</t>
        </r>
      </text>
    </comment>
    <comment ref="M5" authorId="0">
      <text>
        <r>
          <rPr>
            <sz val="10"/>
            <rFont val="Arial"/>
            <family val="2"/>
          </rPr>
          <t xml:space="preserve">Number of fully emerged leaves per plant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ImageJ on scanned leaves with a scale bar</t>
        </r>
      </text>
    </comment>
    <comment ref="H5" authorId="0">
      <text>
        <r>
          <rPr>
            <sz val="10"/>
            <rFont val="Arial"/>
            <family val="2"/>
          </rPr>
          <t xml:space="preserve">70 °C, 72 h, to constant weight</t>
        </r>
      </text>
    </comment>
    <comment ref="I5" authorId="0">
      <text>
        <r>
          <rPr>
            <sz val="10"/>
            <rFont val="Arial"/>
            <family val="2"/>
          </rPr>
          <t xml:space="preserve">Longest root</t>
        </r>
      </text>
    </comment>
    <comment ref="L5" authorId="0">
      <text>
        <r>
          <rPr>
            <sz val="10"/>
            <rFont val="Arial"/>
            <family val="2"/>
          </rPr>
          <t xml:space="preserve">Root DW / shoot DW</t>
        </r>
      </text>
    </comment>
    <comment ref="M5" authorId="0">
      <text>
        <r>
          <rPr>
            <sz val="10"/>
            <rFont val="Arial"/>
            <family val="2"/>
          </rPr>
          <t xml:space="preserve">Optional: imaging or water displacement</t>
        </r>
      </text>
    </comment>
    <comment ref="N5" authorId="0">
      <text>
        <r>
          <rPr>
            <sz val="10"/>
            <rFont val="Arial"/>
            <family val="2"/>
          </rPr>
          <t xml:space="preserve">Optional: imaging</t>
        </r>
      </text>
    </comment>
    <comment ref="O5" authorId="0">
      <text>
        <r>
          <rPr>
            <sz val="10"/>
            <rFont val="Arial"/>
            <family val="2"/>
          </rPr>
          <t xml:space="preserve">Optional: imaging</t>
        </r>
      </text>
    </comment>
    <comment ref="P5" authorId="0">
      <text>
        <r>
          <rPr>
            <sz val="10"/>
            <rFont val="Arial"/>
            <family val="2"/>
          </rPr>
          <t xml:space="preserve">Optional: imaging</t>
        </r>
      </text>
    </comment>
    <comment ref="Q5" authorId="0">
      <text>
        <r>
          <rPr>
            <sz val="10"/>
            <rFont val="Arial"/>
            <family val="2"/>
          </rPr>
          <t xml:space="preserve">Leaf segment fresh weight</t>
        </r>
      </text>
    </comment>
    <comment ref="R5" authorId="0">
      <text>
        <r>
          <rPr>
            <sz val="10"/>
            <rFont val="Arial"/>
            <family val="2"/>
          </rPr>
          <t xml:space="preserve">After 4 h floating on distilled water in dark</t>
        </r>
      </text>
    </comment>
    <comment ref="S5" authorId="0">
      <text>
        <r>
          <rPr>
            <sz val="10"/>
            <rFont val="Arial"/>
            <family val="2"/>
          </rPr>
          <t xml:space="preserve">After oven drying</t>
        </r>
      </text>
    </comment>
    <comment ref="T5" authorId="0">
      <text>
        <r>
          <rPr>
            <sz val="10"/>
            <rFont val="Arial"/>
            <family val="2"/>
          </rPr>
          <t xml:space="preserve">(FW-DW)/(TW-DW) x 100</t>
        </r>
      </text>
    </comment>
    <comment ref="U5" authorId="0">
      <text>
        <r>
          <rPr>
            <sz val="10"/>
            <rFont val="Arial"/>
            <family val="2"/>
          </rPr>
          <t xml:space="preserve">10 leaf discs in 20 mL deionized water, 2 h, room temp</t>
        </r>
      </text>
    </comment>
    <comment ref="V5" authorId="0">
      <text>
        <r>
          <rPr>
            <sz val="10"/>
            <rFont val="Arial"/>
            <family val="2"/>
          </rPr>
          <t xml:space="preserve">Same tubes after boiling 20 min and cooling</t>
        </r>
      </text>
    </comment>
    <comment ref="W5" authorId="0">
      <text>
        <r>
          <rPr>
            <sz val="10"/>
            <rFont val="Arial"/>
            <family val="2"/>
          </rPr>
          <t xml:space="preserve">EC1/EC2 x 100</t>
        </r>
      </text>
    </comment>
    <comment ref="X5" authorId="0">
      <text>
        <r>
          <rPr>
            <sz val="10"/>
            <rFont val="Arial"/>
            <family val="2"/>
          </rPr>
          <t xml:space="preserve">(1 - EC1/EC2) x 100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Fresh leaf mass extracted</t>
        </r>
      </text>
    </comment>
    <comment ref="G5" authorId="0">
      <text>
        <r>
          <rPr>
            <sz val="10"/>
            <rFont val="Arial"/>
            <family val="2"/>
          </rPr>
          <t xml:space="preserve">Final extract volume</t>
        </r>
      </text>
    </comment>
    <comment ref="J5" authorId="0">
      <text>
        <r>
          <rPr>
            <sz val="10"/>
            <rFont val="Arial"/>
            <family val="2"/>
          </rPr>
          <t xml:space="preserve">Use 480 nm for carotenoids in DMSO</t>
        </r>
      </text>
    </comment>
    <comment ref="N5" authorId="0">
      <text>
        <r>
          <rPr>
            <sz val="10"/>
            <rFont val="Arial"/>
            <family val="2"/>
          </rPr>
          <t xml:space="preserve">C x V / (1000 x W)</t>
        </r>
      </text>
    </comment>
    <comment ref="P5" authorId="0">
      <text>
        <r>
          <rPr>
            <sz val="10"/>
            <rFont val="Arial"/>
            <family val="2"/>
          </rPr>
          <t xml:space="preserve">Chl a + Chl b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Tissue homogenized in 10 mL 3% sulfosalicylic acid</t>
        </r>
      </text>
    </comment>
    <comment ref="G5" authorId="0">
      <text>
        <r>
          <rPr>
            <sz val="10"/>
            <rFont val="Arial"/>
            <family val="2"/>
          </rPr>
          <t xml:space="preserve">Toluene phase</t>
        </r>
      </text>
    </comment>
    <comment ref="H5" authorId="0">
      <text>
        <r>
          <rPr>
            <sz val="10"/>
            <rFont val="Arial"/>
            <family val="2"/>
          </rPr>
          <t xml:space="preserve">Usually 4 mL</t>
        </r>
      </text>
    </comment>
    <comment ref="J5" authorId="0">
      <text>
        <r>
          <rPr>
            <sz val="10"/>
            <rFont val="Arial"/>
            <family val="2"/>
          </rPr>
          <t xml:space="preserve">[(µg/mL x mL toluene)/115.13] / [g sample/5]</t>
        </r>
      </text>
    </comment>
    <comment ref="L5" authorId="0">
      <text>
        <r>
          <rPr>
            <sz val="10"/>
            <rFont val="Arial"/>
            <family val="2"/>
          </rPr>
          <t xml:space="preserve">TCA extract volume</t>
        </r>
      </text>
    </comment>
    <comment ref="N5" authorId="0">
      <text>
        <r>
          <rPr>
            <sz val="10"/>
            <rFont val="Arial"/>
            <family val="2"/>
          </rPr>
          <t xml:space="preserve">Non-specific turbidity</t>
        </r>
      </text>
    </comment>
    <comment ref="O5" authorId="0">
      <text>
        <r>
          <rPr>
            <sz val="10"/>
            <rFont val="Arial"/>
            <family val="2"/>
          </rPr>
          <t xml:space="preserve">ε = 155 mM-1 cm-1</t>
        </r>
      </text>
    </comment>
    <comment ref="X5" authorId="0">
      <text>
        <r>
          <rPr>
            <sz val="10"/>
            <rFont val="Arial"/>
            <family val="2"/>
          </rPr>
          <t xml:space="preserve">(C x V x DF)/(W x 1000)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Protein of this enzyme extract</t>
        </r>
      </text>
    </comment>
    <comment ref="I5" authorId="0">
      <text>
        <r>
          <rPr>
            <sz val="10"/>
            <rFont val="Arial"/>
            <family val="2"/>
          </rPr>
          <t xml:space="preserve">Reaction without enzyme, illuminated</t>
        </r>
      </text>
    </comment>
    <comment ref="M5" authorId="0">
      <text>
        <r>
          <rPr>
            <sz val="10"/>
            <rFont val="Arial"/>
            <family val="2"/>
          </rPr>
          <t xml:space="preserve">1 U = 50% inhibition of NBT reduction</t>
        </r>
      </text>
    </comment>
    <comment ref="N5" authorId="0">
      <text>
        <r>
          <rPr>
            <sz val="10"/>
            <rFont val="Arial"/>
            <family val="2"/>
          </rPr>
          <t xml:space="preserve">Decrease in absorbance per minute</t>
        </r>
      </text>
    </comment>
    <comment ref="Q5" authorId="0">
      <text>
        <r>
          <rPr>
            <sz val="10"/>
            <rFont val="Arial"/>
            <family val="2"/>
          </rPr>
          <t xml:space="preserve">ε = 43.6 M-1 cm-1 = 0.0436 mM-1 cm-1</t>
        </r>
      </text>
    </comment>
    <comment ref="U5" authorId="0">
      <text>
        <r>
          <rPr>
            <sz val="10"/>
            <rFont val="Arial"/>
            <family val="2"/>
          </rPr>
          <t xml:space="preserve">ε = 2.8 mM-1 cm-1</t>
        </r>
      </text>
    </comment>
    <comment ref="V5" authorId="0">
      <text>
        <r>
          <rPr>
            <sz val="10"/>
            <rFont val="Arial"/>
            <family val="2"/>
          </rPr>
          <t xml:space="preserve">Increase in absorbance per minute</t>
        </r>
      </text>
    </comment>
    <comment ref="Y5" authorId="0">
      <text>
        <r>
          <rPr>
            <sz val="10"/>
            <rFont val="Arial"/>
            <family val="2"/>
          </rPr>
          <t xml:space="preserve">ε = 26.6 mM-1 cm-1 (tetraguaiacol)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Oven-dry ground tissue</t>
        </r>
      </text>
    </comment>
    <comment ref="G5" authorId="0">
      <text>
        <r>
          <rPr>
            <sz val="10"/>
            <rFont val="Arial"/>
            <family val="2"/>
          </rPr>
          <t xml:space="preserve">Final volume after digestion/ashing</t>
        </r>
      </text>
    </comment>
    <comment ref="H5" authorId="0">
      <text>
        <r>
          <rPr>
            <sz val="10"/>
            <rFont val="Arial"/>
            <family val="2"/>
          </rPr>
          <t xml:space="preserve">Further dilution before reading; 1 if none</t>
        </r>
      </text>
    </comment>
    <comment ref="I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J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K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L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M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N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O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P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Q5" authorId="0">
      <text>
        <r>
          <rPr>
            <sz val="10"/>
            <rFont val="Arial"/>
            <family val="2"/>
          </rPr>
          <t xml:space="preserve">Molar ratio: (K/39.10)/(Na/22.99)</t>
        </r>
      </text>
    </comment>
    <comment ref="R5" authorId="0">
      <text>
        <r>
          <rPr>
            <sz val="10"/>
            <rFont val="Arial"/>
            <family val="2"/>
          </rPr>
          <t xml:space="preserve">Oven-dry ground tissue</t>
        </r>
      </text>
    </comment>
    <comment ref="S5" authorId="0">
      <text>
        <r>
          <rPr>
            <sz val="10"/>
            <rFont val="Arial"/>
            <family val="2"/>
          </rPr>
          <t xml:space="preserve">Final volume after digestion/ashing</t>
        </r>
      </text>
    </comment>
    <comment ref="T5" authorId="0">
      <text>
        <r>
          <rPr>
            <sz val="10"/>
            <rFont val="Arial"/>
            <family val="2"/>
          </rPr>
          <t xml:space="preserve">Further dilution before reading; 1 if none</t>
        </r>
      </text>
    </comment>
    <comment ref="U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V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W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X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Y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Z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AA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AB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AC5" authorId="0">
      <text>
        <r>
          <rPr>
            <sz val="10"/>
            <rFont val="Arial"/>
            <family val="2"/>
          </rPr>
          <t xml:space="preserve">Molar ratio: (K/39.10)/(Na/22.99)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Net photosynthetic rate</t>
        </r>
      </text>
    </comment>
    <comment ref="G5" authorId="0">
      <text>
        <r>
          <rPr>
            <sz val="10"/>
            <rFont val="Arial"/>
            <family val="2"/>
          </rPr>
          <t xml:space="preserve">Stomatal conductance</t>
        </r>
      </text>
    </comment>
    <comment ref="H5" authorId="0">
      <text>
        <r>
          <rPr>
            <sz val="10"/>
            <rFont val="Arial"/>
            <family val="2"/>
          </rPr>
          <t xml:space="preserve">Transpiration rate</t>
        </r>
      </text>
    </comment>
    <comment ref="I5" authorId="0">
      <text>
        <r>
          <rPr>
            <sz val="10"/>
            <rFont val="Arial"/>
            <family val="2"/>
          </rPr>
          <t xml:space="preserve">Intercellular CO2</t>
        </r>
      </text>
    </comment>
    <comment ref="J5" authorId="0">
      <text>
        <r>
          <rPr>
            <sz val="10"/>
            <rFont val="Arial"/>
            <family val="2"/>
          </rPr>
          <t xml:space="preserve">Instantaneous water-use efficiency</t>
        </r>
      </text>
    </comment>
    <comment ref="M5" authorId="0">
      <text>
        <r>
          <rPr>
            <sz val="10"/>
            <rFont val="Arial"/>
            <family val="2"/>
          </rPr>
          <t xml:space="preserve">Maximum PSII efficiency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70 °C, 72 h</t>
        </r>
      </text>
    </comment>
    <comment ref="M5" authorId="0">
      <text>
        <r>
          <rPr>
            <sz val="10"/>
            <rFont val="Arial"/>
            <family val="2"/>
          </rPr>
          <t xml:space="preserve">ε = 155 mM-1 cm-1</t>
        </r>
      </text>
    </comment>
    <comment ref="S5" authorId="0">
      <text>
        <r>
          <rPr>
            <sz val="10"/>
            <rFont val="Arial"/>
            <family val="2"/>
          </rPr>
          <t xml:space="preserve">Oven-dry ground tissue</t>
        </r>
      </text>
    </comment>
    <comment ref="T5" authorId="0">
      <text>
        <r>
          <rPr>
            <sz val="10"/>
            <rFont val="Arial"/>
            <family val="2"/>
          </rPr>
          <t xml:space="preserve">Final volume after digestion/ashing</t>
        </r>
      </text>
    </comment>
    <comment ref="U5" authorId="0">
      <text>
        <r>
          <rPr>
            <sz val="10"/>
            <rFont val="Arial"/>
            <family val="2"/>
          </rPr>
          <t xml:space="preserve">Further dilution before reading; 1 if none</t>
        </r>
      </text>
    </comment>
    <comment ref="V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W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X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Y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Z5" authorId="0">
      <text>
        <r>
          <rPr>
            <sz val="10"/>
            <rFont val="Arial"/>
            <family val="2"/>
          </rPr>
          <t xml:space="preserve">Molar ratio: (K/39.10)/(Na/22.99)</t>
        </r>
      </text>
    </comment>
    <comment ref="AA5" authorId="0">
      <text>
        <r>
          <rPr>
            <sz val="10"/>
            <rFont val="Arial"/>
            <family val="2"/>
          </rPr>
          <t xml:space="preserve">Oven-dry ground tissue</t>
        </r>
      </text>
    </comment>
    <comment ref="AB5" authorId="0">
      <text>
        <r>
          <rPr>
            <sz val="10"/>
            <rFont val="Arial"/>
            <family val="2"/>
          </rPr>
          <t xml:space="preserve">Final volume after digestion/ashing</t>
        </r>
      </text>
    </comment>
    <comment ref="AC5" authorId="0">
      <text>
        <r>
          <rPr>
            <sz val="10"/>
            <rFont val="Arial"/>
            <family val="2"/>
          </rPr>
          <t xml:space="preserve">Further dilution before reading; 1 if none</t>
        </r>
      </text>
    </comment>
    <comment ref="AD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AE5" authorId="0">
      <text>
        <r>
          <rPr>
            <sz val="10"/>
            <rFont val="Arial"/>
            <family val="2"/>
          </rPr>
          <t xml:space="preserve">Instrument reading of the digest (ppm = mg/L)</t>
        </r>
      </text>
    </comment>
    <comment ref="AF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AG5" authorId="0">
      <text>
        <r>
          <rPr>
            <sz val="10"/>
            <rFont val="Arial"/>
            <family val="2"/>
          </rPr>
          <t xml:space="preserve">reading x volume/1000 x dilution / DW</t>
        </r>
      </text>
    </comment>
    <comment ref="AH5" authorId="0">
      <text>
        <r>
          <rPr>
            <sz val="10"/>
            <rFont val="Arial"/>
            <family val="2"/>
          </rPr>
          <t xml:space="preserve">Molar ratio: (K/39.10)/(Na/22.99)</t>
        </r>
      </text>
    </comment>
  </commentList>
</comments>
</file>

<file path=xl/sharedStrings.xml><?xml version="1.0" encoding="utf-8"?>
<sst xmlns="http://schemas.openxmlformats.org/spreadsheetml/2006/main" count="2296" uniqueCount="465">
  <si>
    <t xml:space="preserve">Data-recording workbook: Option A (full mechanistic trial) and Option B (minimum add-on)</t>
  </si>
  <si>
    <t xml:space="preserve">Rice cv. IR-64 | endophyte treatments Control, IS-06, IS-05, C4-5 | NaCl 0, 50, 100 and 150 mM (same 4-tier format as the first trial) | 4 replicate pots each (64 pots)</t>
  </si>
  <si>
    <t xml:space="preserve">HOW TO USE</t>
  </si>
  <si>
    <t xml:space="preserve">Yellow cells</t>
  </si>
  <si>
    <t xml:space="preserve">Enter your raw readings here (one row per pot; enter the mean of the 3 plants in the pot unless the column says otherwise).</t>
  </si>
  <si>
    <t xml:space="preserve">White cells with numbers</t>
  </si>
  <si>
    <t xml:space="preserve">Formulas. Do not type over them; they calculate automatically from your readings.</t>
  </si>
  <si>
    <t xml:space="preserve">Grey row "EX"</t>
  </si>
  <si>
    <t xml:space="preserve">Worked example with realistic dummy values to show the expected format. Delete or ignore it; it is excluded from the Summary sheet.</t>
  </si>
  <si>
    <t xml:space="preserve">Blue text</t>
  </si>
  <si>
    <t xml:space="preserve">Example values only (not real data).</t>
  </si>
  <si>
    <t xml:space="preserve">Column headers</t>
  </si>
  <si>
    <t xml:space="preserve">Hover over a header with a red corner for the method, wavelength and units.</t>
  </si>
  <si>
    <t xml:space="preserve">WHICH SHEETS TO USE</t>
  </si>
  <si>
    <t xml:space="preserve">Option A (full)</t>
  </si>
  <si>
    <t xml:space="preserve">Layout, A1_Growth_Intervals, A2_Growth_Harvest, A3_Pigments, A4_Osmo_Oxidative, A5_Enzymes, A6_Ions, A7_GasExchange (optional), Std_Curves, Summary.</t>
  </si>
  <si>
    <t xml:space="preserve">Option B (minimum)</t>
  </si>
  <si>
    <t xml:space="preserve">Layout, B_Minimal, Std_Curves (proline block), Summary. Same 64 pots; B is a subset of A, so if you run A you do not need B separately.</t>
  </si>
  <si>
    <t xml:space="preserve">Instruments</t>
  </si>
  <si>
    <t xml:space="preserve">See sheet "Instruments": what the progress report confirms you have, and what you must confirm or outsource.</t>
  </si>
  <si>
    <t xml:space="preserve">Timeline</t>
  </si>
  <si>
    <t xml:space="preserve">See sheet "Timeline" for the day-by-day plan (about 45 days in the polyhouse + 2-3 weeks of lab assays).</t>
  </si>
  <si>
    <t xml:space="preserve">IMPORTANT DESIGN NOTES</t>
  </si>
  <si>
    <t xml:space="preserve">Replicates</t>
  </si>
  <si>
    <t xml:space="preserve">Record every replicate pot separately. Do NOT enter only means: replicate-level data are what allow ANOVA, MANOVA and correct SDs.</t>
  </si>
  <si>
    <t xml:space="preserve">Salt timing</t>
  </si>
  <si>
    <t xml:space="preserve">Write down the exact day saline irrigation starts (sheet Timeline). In the earlier trial the methods said 15 DAS but germination fell with salt, which reviewers will question.</t>
  </si>
  <si>
    <t xml:space="preserve">Fresh vs dry basis</t>
  </si>
  <si>
    <t xml:space="preserve">Biochemical values are calculated per g fresh weight (FW) for leaf assays and per g dry weight (DW) for ions, as is standard. Record the exact tissue mass for every sample.</t>
  </si>
  <si>
    <t xml:space="preserve">Same leaf, same day</t>
  </si>
  <si>
    <t xml:space="preserve">Take RWC, electrolyte leakage, pigments, MDA, H2O2, proline and enzyme samples from comparable fully expanded leaves on the same day, at the same time of morning.</t>
  </si>
  <si>
    <t xml:space="preserve">Enzymes</t>
  </si>
  <si>
    <t xml:space="preserve">Extract on ice in cold phosphate buffer and assay the same day (or store at -20 °C / -80 °C if available). Enter protein (mg/mL) of the SAME enzyme extract to get specific activity.</t>
  </si>
  <si>
    <t xml:space="preserve">Randomization</t>
  </si>
  <si>
    <t xml:space="preserve">Bench positions in "Layout" were randomized (completely randomized design, random seed 2026). Place pots accordingly and re-randomize weekly if possible.</t>
  </si>
  <si>
    <t xml:space="preserve">Instruments: confirmed in your progress report vs. needed for the new parameters</t>
  </si>
  <si>
    <t xml:space="preserve">Confirmed = explicitly used in the progress report (Jul-Dec 2025). Confirm = not mentioned in the report; check with your lab / department.</t>
  </si>
  <si>
    <t xml:space="preserve">Parameter</t>
  </si>
  <si>
    <t xml:space="preserve">Option</t>
  </si>
  <si>
    <t xml:space="preserve">Method (reference)</t>
  </si>
  <si>
    <t xml:space="preserve">Instrument needed</t>
  </si>
  <si>
    <t xml:space="preserve">In progress report?</t>
  </si>
  <si>
    <t xml:space="preserve">If not available</t>
  </si>
  <si>
    <t xml:space="preserve">Plant height, leaf number</t>
  </si>
  <si>
    <t xml:space="preserve">A</t>
  </si>
  <si>
    <t xml:space="preserve">Ruler / count at 15, 25, 35, 45 DAS</t>
  </si>
  <si>
    <t xml:space="preserve">Scale, ruler</t>
  </si>
  <si>
    <t xml:space="preserve">Confirmed (root/shoot lengths measured)</t>
  </si>
  <si>
    <t xml:space="preserve">-</t>
  </si>
  <si>
    <t xml:space="preserve">Shoot &amp; root fresh weight</t>
  </si>
  <si>
    <t xml:space="preserve">A, B</t>
  </si>
  <si>
    <t xml:space="preserve">Gravimetric</t>
  </si>
  <si>
    <t xml:space="preserve">Analytical balance</t>
  </si>
  <si>
    <t xml:space="preserve">Confirmed</t>
  </si>
  <si>
    <t xml:space="preserve">Shoot &amp; root dry weight</t>
  </si>
  <si>
    <t xml:space="preserve">Oven-dry 70 °C, 72 h to constant weight</t>
  </si>
  <si>
    <t xml:space="preserve">Hot-air oven</t>
  </si>
  <si>
    <t xml:space="preserve">Confirm (not mentioned)</t>
  </si>
  <si>
    <t xml:space="preserve">Use the glassware-drying oven of any microbiology lab; 60-70 °C is enough</t>
  </si>
  <si>
    <t xml:space="preserve">Leaf area</t>
  </si>
  <si>
    <t xml:space="preserve">Scan/photograph leaves on a white sheet with a scale; measure in ImageJ (free)</t>
  </si>
  <si>
    <t xml:space="preserve">Flatbed scanner or phone camera</t>
  </si>
  <si>
    <t xml:space="preserve">Confirm</t>
  </si>
  <si>
    <t xml:space="preserve">Length x max width x 0.75 (rice leaf factor) as a fallback</t>
  </si>
  <si>
    <t xml:space="preserve">Root volume, surface area, branching</t>
  </si>
  <si>
    <t xml:space="preserve">A (optional)</t>
  </si>
  <si>
    <t xml:space="preserve">Scan washed roots in water tray; RhizoVision Explorer (free) or WinRHIZO</t>
  </si>
  <si>
    <t xml:space="preserve">Flatbed scanner (600 dpi)</t>
  </si>
  <si>
    <t xml:space="preserve">Root volume by water displacement in a measuring cylinder; drop surface area/branching and state as limitation</t>
  </si>
  <si>
    <t xml:space="preserve">Chlorophyll a, b, total, carotenoids</t>
  </si>
  <si>
    <t xml:space="preserve">DMSO 60 °C (Hiscox &amp; Israelstam 1979); Arnon (1949) as before; carotenoids Wellburn (1994) DMSO equation at 480 nm</t>
  </si>
  <si>
    <t xml:space="preserve">UV-Vis spectrophotometer, water bath</t>
  </si>
  <si>
    <t xml:space="preserve">Relative water content</t>
  </si>
  <si>
    <t xml:space="preserve">FW, turgid weight (4 h in water, dark), DW (Barrs &amp; Weatherley 1962)</t>
  </si>
  <si>
    <t xml:space="preserve">Analytical balance, oven</t>
  </si>
  <si>
    <t xml:space="preserve">Balance confirmed; oven confirm</t>
  </si>
  <si>
    <t xml:space="preserve">Electrolyte leakage</t>
  </si>
  <si>
    <t xml:space="preserve">EC of leaf discs in deionized water, before and after boiling (Lutts et al. 1996)</t>
  </si>
  <si>
    <t xml:space="preserve">Conductivity (EC) meter</t>
  </si>
  <si>
    <t xml:space="preserve">Borrow from a soil science / chemistry lab; it is a small handheld meter</t>
  </si>
  <si>
    <t xml:space="preserve">Proline</t>
  </si>
  <si>
    <t xml:space="preserve">Acid-ninhydrin, toluene phase, A520 (Bates et al. 1973)</t>
  </si>
  <si>
    <t xml:space="preserve">UV-Vis spectrophotometer, water bath, centrifuge</t>
  </si>
  <si>
    <t xml:space="preserve">Soluble sugars, soluble protein</t>
  </si>
  <si>
    <t xml:space="preserve">Anthrone A620; Lowry A660 (as before)</t>
  </si>
  <si>
    <t xml:space="preserve">UV-Vis spectrophotometer</t>
  </si>
  <si>
    <t xml:space="preserve">MDA (lipid peroxidation)</t>
  </si>
  <si>
    <t xml:space="preserve">TBA, A532 - A600, ε = 155 mM-1 cm-1 (Heath &amp; Packer 1968)</t>
  </si>
  <si>
    <t xml:space="preserve">H2O2</t>
  </si>
  <si>
    <t xml:space="preserve">KI method, A390, H2O2 standard curve (Velikova et al. 2000)</t>
  </si>
  <si>
    <t xml:space="preserve">UV-Vis spectrophotometer, centrifuge</t>
  </si>
  <si>
    <t xml:space="preserve">SOD</t>
  </si>
  <si>
    <t xml:space="preserve">NBT photoreduction, A560; 1 U = 50% inhibition (Beauchamp &amp; Fridovich 1971)</t>
  </si>
  <si>
    <t xml:space="preserve">UV-Vis spectrophotometer, cold centrifuge, light box</t>
  </si>
  <si>
    <t xml:space="preserve">Spectrophotometer confirmed; cold centrifuge confirm</t>
  </si>
  <si>
    <t xml:space="preserve">Keep extracts on ice; run within 2 h</t>
  </si>
  <si>
    <t xml:space="preserve">CAT</t>
  </si>
  <si>
    <t xml:space="preserve">H2O2 decomposition, ΔA240/min, ε = 43.6 M-1 cm-1 (Aebi 1984)</t>
  </si>
  <si>
    <t xml:space="preserve">UV-Vis spectrophotometer with UV range + quartz cuvette</t>
  </si>
  <si>
    <t xml:space="preserve">Confirm UV range and quartz cuvettes</t>
  </si>
  <si>
    <t xml:space="preserve">Without quartz cuvettes, the 240 nm and 290 nm assays (CAT, APX) cannot be run</t>
  </si>
  <si>
    <t xml:space="preserve">APX</t>
  </si>
  <si>
    <t xml:space="preserve">Ascorbate oxidation, ΔA290/min, ε = 2.8 mM-1 cm-1 (Nakano &amp; Asada 1981)</t>
  </si>
  <si>
    <t xml:space="preserve">UV-Vis spectrophotometer (UV) + quartz cuvette</t>
  </si>
  <si>
    <t xml:space="preserve">As above</t>
  </si>
  <si>
    <t xml:space="preserve">POD</t>
  </si>
  <si>
    <t xml:space="preserve">Guaiacol, ΔA470/min, ε = 26.6 mM-1 cm-1 (Chance &amp; Maehly 1955)</t>
  </si>
  <si>
    <t xml:space="preserve">Na+, K+</t>
  </si>
  <si>
    <t xml:space="preserve">Dry tissue digested (HNO3:HClO4) or dry-ashed; flame photometry</t>
  </si>
  <si>
    <t xml:space="preserve">Flame photometer</t>
  </si>
  <si>
    <t xml:space="preserve">Outsource to a soil-testing lab or university central instrumentation facility (low cost per sample). Essential for the salinity mechanism.</t>
  </si>
  <si>
    <t xml:space="preserve">Ca2+, Mg2+</t>
  </si>
  <si>
    <t xml:space="preserve">Same digest; EDTA titration (no instrument) or AAS</t>
  </si>
  <si>
    <t xml:space="preserve">Burette (titration) or AAS</t>
  </si>
  <si>
    <t xml:space="preserve">EDTA titration needs only glassware and reagents</t>
  </si>
  <si>
    <t xml:space="preserve">Photosynthesis, gs, transpiration</t>
  </si>
  <si>
    <t xml:space="preserve">Infrared gas analyser on youngest fully expanded leaf, 9-11 am</t>
  </si>
  <si>
    <t xml:space="preserve">IRGA (e.g. LI-6800)</t>
  </si>
  <si>
    <t xml:space="preserve">Not in report</t>
  </si>
  <si>
    <t xml:space="preserve">Omit and justify as a limitation if no IRGA</t>
  </si>
  <si>
    <t xml:space="preserve">Chlorophyll fluorescence Fv/Fm</t>
  </si>
  <si>
    <t xml:space="preserve">30 min dark adaptation; Fv/Fm</t>
  </si>
  <si>
    <t xml:space="preserve">Fluorometer (e.g. Handy PEA, MINI-PAM)</t>
  </si>
  <si>
    <t xml:space="preserve">Omit and justify as a limitation</t>
  </si>
  <si>
    <t xml:space="preserve">Incubation, culture, inoculum</t>
  </si>
  <si>
    <t xml:space="preserve">Nutrient broth, 37 °C; seed bacterization 30 min, ~10^8 CFU/mL</t>
  </si>
  <si>
    <t xml:space="preserve">Bacteriological incubator, laminar flow, autoclave</t>
  </si>
  <si>
    <t xml:space="preserve">Confirmed (incubator)</t>
  </si>
  <si>
    <t xml:space="preserve">Method references are given for planning; DOIs will be verified when the methods are added to the manuscript.</t>
  </si>
  <si>
    <t xml:space="preserve">Pot layout: 4 inoculation treatments x 4 NaCl levels (0, 50, 100, 150 mM) x 4 replicates = 64 pots (CRD)</t>
  </si>
  <si>
    <t xml:space="preserve">Fill the yellow cells on the day of each event. Bench positions randomized with seed 2026.</t>
  </si>
  <si>
    <t xml:space="preserve">Pot ID</t>
  </si>
  <si>
    <t xml:space="preserve">Treatment</t>
  </si>
  <si>
    <t xml:space="preserve">Inoculant</t>
  </si>
  <si>
    <t xml:space="preserve">NaCl (mM)</t>
  </si>
  <si>
    <t xml:space="preserve">Rep</t>
  </si>
  <si>
    <t xml:space="preserve">Bench position</t>
  </si>
  <si>
    <t xml:space="preserve">Sowing date</t>
  </si>
  <si>
    <t xml:space="preserve">Seeds sown</t>
  </si>
  <si>
    <t xml:space="preserve">Seedlings emerged (7 DAS)</t>
  </si>
  <si>
    <t xml:space="preserve">Emergence %</t>
  </si>
  <si>
    <t xml:space="preserve">Plants after thinning</t>
  </si>
  <si>
    <t xml:space="preserve">Plants surviving at harvest</t>
  </si>
  <si>
    <t xml:space="preserve">Survival %</t>
  </si>
  <si>
    <t xml:space="preserve">Notes</t>
  </si>
  <si>
    <t xml:space="preserve">P01</t>
  </si>
  <si>
    <t xml:space="preserve">Control | 0 mM</t>
  </si>
  <si>
    <t xml:space="preserve">Control</t>
  </si>
  <si>
    <t xml:space="preserve">P02</t>
  </si>
  <si>
    <t xml:space="preserve">P03</t>
  </si>
  <si>
    <t xml:space="preserve">P04</t>
  </si>
  <si>
    <t xml:space="preserve">P05</t>
  </si>
  <si>
    <t xml:space="preserve">Control | 50 mM</t>
  </si>
  <si>
    <t xml:space="preserve">P06</t>
  </si>
  <si>
    <t xml:space="preserve">P07</t>
  </si>
  <si>
    <t xml:space="preserve">P08</t>
  </si>
  <si>
    <t xml:space="preserve">P09</t>
  </si>
  <si>
    <t xml:space="preserve">Control | 100 mM</t>
  </si>
  <si>
    <t xml:space="preserve">P10</t>
  </si>
  <si>
    <t xml:space="preserve">P11</t>
  </si>
  <si>
    <t xml:space="preserve">P12</t>
  </si>
  <si>
    <t xml:space="preserve">P13</t>
  </si>
  <si>
    <t xml:space="preserve">Control | 150 mM</t>
  </si>
  <si>
    <t xml:space="preserve">P14</t>
  </si>
  <si>
    <t xml:space="preserve">P15</t>
  </si>
  <si>
    <t xml:space="preserve">P16</t>
  </si>
  <si>
    <t xml:space="preserve">P17</t>
  </si>
  <si>
    <t xml:space="preserve">IS-06 | 0 mM</t>
  </si>
  <si>
    <t xml:space="preserve">IS-06</t>
  </si>
  <si>
    <t xml:space="preserve">P18</t>
  </si>
  <si>
    <t xml:space="preserve">P19</t>
  </si>
  <si>
    <t xml:space="preserve">P20</t>
  </si>
  <si>
    <t xml:space="preserve">P21</t>
  </si>
  <si>
    <t xml:space="preserve">IS-06 | 50 mM</t>
  </si>
  <si>
    <t xml:space="preserve">P22</t>
  </si>
  <si>
    <t xml:space="preserve">P23</t>
  </si>
  <si>
    <t xml:space="preserve">P24</t>
  </si>
  <si>
    <t xml:space="preserve">P25</t>
  </si>
  <si>
    <t xml:space="preserve">IS-06 | 100 mM</t>
  </si>
  <si>
    <t xml:space="preserve">P26</t>
  </si>
  <si>
    <t xml:space="preserve">P27</t>
  </si>
  <si>
    <t xml:space="preserve">P28</t>
  </si>
  <si>
    <t xml:space="preserve">P29</t>
  </si>
  <si>
    <t xml:space="preserve">IS-06 | 150 mM</t>
  </si>
  <si>
    <t xml:space="preserve">P30</t>
  </si>
  <si>
    <t xml:space="preserve">P31</t>
  </si>
  <si>
    <t xml:space="preserve">P32</t>
  </si>
  <si>
    <t xml:space="preserve">P33</t>
  </si>
  <si>
    <t xml:space="preserve">IS-05 | 0 mM</t>
  </si>
  <si>
    <t xml:space="preserve">IS-05</t>
  </si>
  <si>
    <t xml:space="preserve">P34</t>
  </si>
  <si>
    <t xml:space="preserve">P35</t>
  </si>
  <si>
    <t xml:space="preserve">P36</t>
  </si>
  <si>
    <t xml:space="preserve">P37</t>
  </si>
  <si>
    <t xml:space="preserve">IS-05 | 50 mM</t>
  </si>
  <si>
    <t xml:space="preserve">P38</t>
  </si>
  <si>
    <t xml:space="preserve">P39</t>
  </si>
  <si>
    <t xml:space="preserve">P40</t>
  </si>
  <si>
    <t xml:space="preserve">P41</t>
  </si>
  <si>
    <t xml:space="preserve">IS-05 | 100 mM</t>
  </si>
  <si>
    <t xml:space="preserve">P42</t>
  </si>
  <si>
    <t xml:space="preserve">P43</t>
  </si>
  <si>
    <t xml:space="preserve">P44</t>
  </si>
  <si>
    <t xml:space="preserve">P45</t>
  </si>
  <si>
    <t xml:space="preserve">IS-05 | 150 mM</t>
  </si>
  <si>
    <t xml:space="preserve">P46</t>
  </si>
  <si>
    <t xml:space="preserve">P47</t>
  </si>
  <si>
    <t xml:space="preserve">P48</t>
  </si>
  <si>
    <t xml:space="preserve">P49</t>
  </si>
  <si>
    <t xml:space="preserve">C4-5 | 0 mM</t>
  </si>
  <si>
    <t xml:space="preserve">C4-5</t>
  </si>
  <si>
    <t xml:space="preserve">P50</t>
  </si>
  <si>
    <t xml:space="preserve">P51</t>
  </si>
  <si>
    <t xml:space="preserve">P52</t>
  </si>
  <si>
    <t xml:space="preserve">P53</t>
  </si>
  <si>
    <t xml:space="preserve">C4-5 | 50 mM</t>
  </si>
  <si>
    <t xml:space="preserve">P54</t>
  </si>
  <si>
    <t xml:space="preserve">P55</t>
  </si>
  <si>
    <t xml:space="preserve">P56</t>
  </si>
  <si>
    <t xml:space="preserve">P57</t>
  </si>
  <si>
    <t xml:space="preserve">C4-5 | 100 mM</t>
  </si>
  <si>
    <t xml:space="preserve">P58</t>
  </si>
  <si>
    <t xml:space="preserve">P59</t>
  </si>
  <si>
    <t xml:space="preserve">P60</t>
  </si>
  <si>
    <t xml:space="preserve">P61</t>
  </si>
  <si>
    <t xml:space="preserve">C4-5 | 150 mM</t>
  </si>
  <si>
    <t xml:space="preserve">P62</t>
  </si>
  <si>
    <t xml:space="preserve">P63</t>
  </si>
  <si>
    <t xml:space="preserve">P64</t>
  </si>
  <si>
    <t xml:space="preserve">Option A | Growth at defined intervals (mean of the 3 plants per pot)</t>
  </si>
  <si>
    <t xml:space="preserve">DAS = days after sowing.</t>
  </si>
  <si>
    <t xml:space="preserve">Design</t>
  </si>
  <si>
    <t xml:space="preserve">15 DAS</t>
  </si>
  <si>
    <t xml:space="preserve">25 DAS</t>
  </si>
  <si>
    <t xml:space="preserve">35 DAS</t>
  </si>
  <si>
    <t xml:space="preserve">45 DAS</t>
  </si>
  <si>
    <t xml:space="preserve">Growth rate</t>
  </si>
  <si>
    <t xml:space="preserve">Height 15 DAS (cm)</t>
  </si>
  <si>
    <t xml:space="preserve">Leaves 15 DAS (no.)</t>
  </si>
  <si>
    <t xml:space="preserve">Height 25 DAS (cm)</t>
  </si>
  <si>
    <t xml:space="preserve">Leaves 25 DAS (no.)</t>
  </si>
  <si>
    <t xml:space="preserve">Height 35 DAS (cm)</t>
  </si>
  <si>
    <t xml:space="preserve">Leaves 35 DAS (no.)</t>
  </si>
  <si>
    <t xml:space="preserve">Height 45 DAS (cm)</t>
  </si>
  <si>
    <t xml:space="preserve">Leaves 45 DAS (no.)</t>
  </si>
  <si>
    <t xml:space="preserve">Height gain 15-45 DAS (cm/day)</t>
  </si>
  <si>
    <t xml:space="preserve">EX</t>
  </si>
  <si>
    <t xml:space="preserve">EXAMPLE (delete)</t>
  </si>
  <si>
    <t xml:space="preserve">EXAMPLE</t>
  </si>
  <si>
    <t xml:space="preserve">Option A | Harvest (45 DAS): biomass, roots, water status</t>
  </si>
  <si>
    <t xml:space="preserve">Per pot: enter the mean of the 3 plants (biomass per plant).</t>
  </si>
  <si>
    <t xml:space="preserve">Shoot</t>
  </si>
  <si>
    <t xml:space="preserve">Root</t>
  </si>
  <si>
    <t xml:space="preserve">Leaf area (cm2/plant)</t>
  </si>
  <si>
    <t xml:space="preserve">Shoot FW (g)</t>
  </si>
  <si>
    <t xml:space="preserve">Shoot DW (g)</t>
  </si>
  <si>
    <t xml:space="preserve">Root length (cm)</t>
  </si>
  <si>
    <t xml:space="preserve">Root FW (g)</t>
  </si>
  <si>
    <t xml:space="preserve">Root DW (g)</t>
  </si>
  <si>
    <t xml:space="preserve">Root/shoot ratio (DW)</t>
  </si>
  <si>
    <t xml:space="preserve">Root volume (cm3)</t>
  </si>
  <si>
    <t xml:space="preserve">Root surface area (cm2)</t>
  </si>
  <si>
    <t xml:space="preserve">Root tips (no.)</t>
  </si>
  <si>
    <t xml:space="preserve">Root forks / branches (no.)</t>
  </si>
  <si>
    <t xml:space="preserve">RWC leaf FW (g)</t>
  </si>
  <si>
    <t xml:space="preserve">RWC turgid wt (g)</t>
  </si>
  <si>
    <t xml:space="preserve">RWC dry wt (g)</t>
  </si>
  <si>
    <t xml:space="preserve">RWC (%)</t>
  </si>
  <si>
    <t xml:space="preserve">EC1 (µS/cm)</t>
  </si>
  <si>
    <t xml:space="preserve">EC2 (µS/cm)</t>
  </si>
  <si>
    <t xml:space="preserve">Electrolyte leakage (%)</t>
  </si>
  <si>
    <t xml:space="preserve">Membrane stability index (%)</t>
  </si>
  <si>
    <t xml:space="preserve">Standard curves (absorbance = slope x concentration + intercept)</t>
  </si>
  <si>
    <t xml:space="preserve">Enter absorbance of each standard. Slope, intercept and R² update automatically and feed the assay sheets.</t>
  </si>
  <si>
    <t xml:space="preserve">Proline (µg/mL) at 520 nm</t>
  </si>
  <si>
    <t xml:space="preserve">H2O2 (µmol/mL) at 390 nm</t>
  </si>
  <si>
    <t xml:space="preserve">BSA protein (µg/mL) at 660 nm</t>
  </si>
  <si>
    <t xml:space="preserve">Glucose (µg/mL) at 620 nm</t>
  </si>
  <si>
    <t xml:space="preserve">Concentration</t>
  </si>
  <si>
    <t xml:space="preserve">Absorbance</t>
  </si>
  <si>
    <t xml:space="preserve">Slope</t>
  </si>
  <si>
    <t xml:space="preserve">Intercept</t>
  </si>
  <si>
    <t xml:space="preserve">R²</t>
  </si>
  <si>
    <t xml:space="preserve">Check: R² should be ≥ 0.99. Re-run any standard curve with each new batch of reagent.</t>
  </si>
  <si>
    <t xml:space="preserve">Option A | Photosynthetic pigments (DMSO extraction, 60 °C, 30 min)</t>
  </si>
  <si>
    <t xml:space="preserve">Chl by Arnon (1949) equations as in the earlier trial; carotenoids by the Wellburn (1994) DMSO equation at 480 nm.</t>
  </si>
  <si>
    <t xml:space="preserve">Sample</t>
  </si>
  <si>
    <t xml:space="preserve">Concentration in extract (mg/L)</t>
  </si>
  <si>
    <t xml:space="preserve">Content (mg/g FW)</t>
  </si>
  <si>
    <t xml:space="preserve">Leaf FW (g)</t>
  </si>
  <si>
    <t xml:space="preserve">DMSO volume (mL)</t>
  </si>
  <si>
    <t xml:space="preserve">A663</t>
  </si>
  <si>
    <t xml:space="preserve">A645</t>
  </si>
  <si>
    <t xml:space="preserve">A480</t>
  </si>
  <si>
    <t xml:space="preserve">Chl a (mg/L)</t>
  </si>
  <si>
    <t xml:space="preserve">Chl b (mg/L)</t>
  </si>
  <si>
    <t xml:space="preserve">Carotenoids (mg/L)</t>
  </si>
  <si>
    <t xml:space="preserve">Chl a (mg/g FW)</t>
  </si>
  <si>
    <t xml:space="preserve">Chl b (mg/g FW)</t>
  </si>
  <si>
    <t xml:space="preserve">Total Chl (mg/g FW)</t>
  </si>
  <si>
    <t xml:space="preserve">Carotenoids (mg/g FW)</t>
  </si>
  <si>
    <t xml:space="preserve">Chl a/b ratio</t>
  </si>
  <si>
    <t xml:space="preserve">Option A | Osmolytes and oxidative-stress markers (leaf, fresh weight basis)</t>
  </si>
  <si>
    <t xml:space="preserve">Standard curves are taken from sheet Std_Curves.</t>
  </si>
  <si>
    <t xml:space="preserve">Proline (Bates et al. 1973)</t>
  </si>
  <si>
    <t xml:space="preserve">MDA (Heath &amp; Packer 1968)</t>
  </si>
  <si>
    <t xml:space="preserve">H2O2 (Velikova et al. 2000)</t>
  </si>
  <si>
    <t xml:space="preserve">Soluble sugars (anthrone)</t>
  </si>
  <si>
    <t xml:space="preserve">Soluble protein (Lowry)</t>
  </si>
  <si>
    <t xml:space="preserve">Pro leaf FW (g)</t>
  </si>
  <si>
    <t xml:space="preserve">Pro A520</t>
  </si>
  <si>
    <t xml:space="preserve">Toluene (mL)</t>
  </si>
  <si>
    <t xml:space="preserve">Proline (µg/mL)</t>
  </si>
  <si>
    <t xml:space="preserve">Proline (µmol/g FW)</t>
  </si>
  <si>
    <t xml:space="preserve">MDA leaf FW (g)</t>
  </si>
  <si>
    <t xml:space="preserve">MDA extract (mL)</t>
  </si>
  <si>
    <t xml:space="preserve">A532</t>
  </si>
  <si>
    <t xml:space="preserve">A600</t>
  </si>
  <si>
    <t xml:space="preserve">MDA (nmol/g FW)</t>
  </si>
  <si>
    <t xml:space="preserve">H2O2 leaf FW (g)</t>
  </si>
  <si>
    <t xml:space="preserve">H2O2 extract (mL)</t>
  </si>
  <si>
    <t xml:space="preserve">H2O2 A390</t>
  </si>
  <si>
    <t xml:space="preserve">H2O2 (µmol/g FW)</t>
  </si>
  <si>
    <t xml:space="preserve">Sug leaf FW (g)</t>
  </si>
  <si>
    <t xml:space="preserve">Sug extract (mL)</t>
  </si>
  <si>
    <t xml:space="preserve">Sug dilution factor</t>
  </si>
  <si>
    <t xml:space="preserve">Sug A620</t>
  </si>
  <si>
    <t xml:space="preserve">Soluble sugars (mg/g FW)</t>
  </si>
  <si>
    <t xml:space="preserve">Prot leaf FW (g)</t>
  </si>
  <si>
    <t xml:space="preserve">Prot extract (mL)</t>
  </si>
  <si>
    <t xml:space="preserve">Prot A660</t>
  </si>
  <si>
    <t xml:space="preserve">Protein in extract (mg/mL)</t>
  </si>
  <si>
    <t xml:space="preserve">Soluble protein (mg/g FW)</t>
  </si>
  <si>
    <t xml:space="preserve">Option A | Antioxidant enzymes (cold phosphate-buffer extract; specific activity per mg protein)</t>
  </si>
  <si>
    <t xml:space="preserve">Protein of the enzyme extract: enter mg/mL measured on the SAME extract (Lowry/Bradford). Rates: ΔA per minute from the linear part of the trace.</t>
  </si>
  <si>
    <t xml:space="preserve">Extract</t>
  </si>
  <si>
    <t xml:space="preserve">SOD (NBT, A560)</t>
  </si>
  <si>
    <t xml:space="preserve">CAT (ΔA240)</t>
  </si>
  <si>
    <t xml:space="preserve">APX (ΔA290)</t>
  </si>
  <si>
    <t xml:space="preserve">POD (guaiacol, ΔA470)</t>
  </si>
  <si>
    <t xml:space="preserve">Enz leaf FW (g)</t>
  </si>
  <si>
    <t xml:space="preserve">Enz extract (mL)</t>
  </si>
  <si>
    <t xml:space="preserve">Extract protein (mg/mL)</t>
  </si>
  <si>
    <t xml:space="preserve">SOD A560 control</t>
  </si>
  <si>
    <t xml:space="preserve">SOD A560 sample</t>
  </si>
  <si>
    <t xml:space="preserve">SOD enzyme vol (mL)</t>
  </si>
  <si>
    <t xml:space="preserve">SOD inhibition (%)</t>
  </si>
  <si>
    <t xml:space="preserve">SOD (U/mg protein)</t>
  </si>
  <si>
    <t xml:space="preserve">CAT ΔA240/min</t>
  </si>
  <si>
    <t xml:space="preserve">CAT reaction vol (mL)</t>
  </si>
  <si>
    <t xml:space="preserve">CAT enzyme vol (mL)</t>
  </si>
  <si>
    <t xml:space="preserve">CAT (µmol H2O2/min/mg protein)</t>
  </si>
  <si>
    <t xml:space="preserve">APX ΔA290/min</t>
  </si>
  <si>
    <t xml:space="preserve">APX reaction vol (mL)</t>
  </si>
  <si>
    <t xml:space="preserve">APX enzyme vol (mL)</t>
  </si>
  <si>
    <t xml:space="preserve">APX (µmol ASA/min/mg protein)</t>
  </si>
  <si>
    <t xml:space="preserve">POD ΔA470/min</t>
  </si>
  <si>
    <t xml:space="preserve">POD reaction vol (mL)</t>
  </si>
  <si>
    <t xml:space="preserve">POD enzyme vol (mL)</t>
  </si>
  <si>
    <t xml:space="preserve">POD (µmol/min/mg protein)</t>
  </si>
  <si>
    <t xml:space="preserve">Option A | Ion homeostasis in leaves and roots (dry weight basis)</t>
  </si>
  <si>
    <t xml:space="preserve">Na+, K+ by flame photometry; Ca2+, Mg2+ by EDTA titration or AAS (enter the result as mg/L of the digest).</t>
  </si>
  <si>
    <t xml:space="preserve">Leaf digest</t>
  </si>
  <si>
    <t xml:space="preserve">Leaf ions</t>
  </si>
  <si>
    <t xml:space="preserve">Root digest</t>
  </si>
  <si>
    <t xml:space="preserve">Root ions</t>
  </si>
  <si>
    <t xml:space="preserve">L DW digested (g)</t>
  </si>
  <si>
    <t xml:space="preserve">L digest vol (mL)</t>
  </si>
  <si>
    <t xml:space="preserve">L dilution factor</t>
  </si>
  <si>
    <t xml:space="preserve">L Na reading (mg/L)</t>
  </si>
  <si>
    <t xml:space="preserve">L K reading (mg/L)</t>
  </si>
  <si>
    <t xml:space="preserve">L Ca reading (mg/L)</t>
  </si>
  <si>
    <t xml:space="preserve">L Mg reading (mg/L)</t>
  </si>
  <si>
    <t xml:space="preserve">L Na (mg/g DW)</t>
  </si>
  <si>
    <t xml:space="preserve">L K (mg/g DW)</t>
  </si>
  <si>
    <t xml:space="preserve">L Ca (mg/g DW)</t>
  </si>
  <si>
    <t xml:space="preserve">L Mg (mg/g DW)</t>
  </si>
  <si>
    <t xml:space="preserve">L K/Na ratio (molar)</t>
  </si>
  <si>
    <t xml:space="preserve">R DW digested (g)</t>
  </si>
  <si>
    <t xml:space="preserve">R digest vol (mL)</t>
  </si>
  <si>
    <t xml:space="preserve">R dilution factor</t>
  </si>
  <si>
    <t xml:space="preserve">R Na reading (mg/L)</t>
  </si>
  <si>
    <t xml:space="preserve">R K reading (mg/L)</t>
  </si>
  <si>
    <t xml:space="preserve">R Ca reading (mg/L)</t>
  </si>
  <si>
    <t xml:space="preserve">R Mg reading (mg/L)</t>
  </si>
  <si>
    <t xml:space="preserve">R Na (mg/g DW)</t>
  </si>
  <si>
    <t xml:space="preserve">R K (mg/g DW)</t>
  </si>
  <si>
    <t xml:space="preserve">R Ca (mg/g DW)</t>
  </si>
  <si>
    <t xml:space="preserve">R Mg (mg/g DW)</t>
  </si>
  <si>
    <t xml:space="preserve">R K/Na ratio (molar)</t>
  </si>
  <si>
    <t xml:space="preserve">Option A (optional) | Gas exchange and chlorophyll fluorescence</t>
  </si>
  <si>
    <t xml:space="preserve">Only if an IRGA / fluorometer is available. Measure the youngest fully expanded leaf, 09:00-11:00 h.</t>
  </si>
  <si>
    <t xml:space="preserve">Gas exchange (IRGA)</t>
  </si>
  <si>
    <t xml:space="preserve">Fluorescence (30 min dark)</t>
  </si>
  <si>
    <t xml:space="preserve">Pn (µmol CO2/m2/s)</t>
  </si>
  <si>
    <t xml:space="preserve">gs (mol H2O/m2/s)</t>
  </si>
  <si>
    <t xml:space="preserve">E (mmol H2O/m2/s)</t>
  </si>
  <si>
    <t xml:space="preserve">Ci (µmol/mol)</t>
  </si>
  <si>
    <t xml:space="preserve">WUE (Pn/E)</t>
  </si>
  <si>
    <t xml:space="preserve">F0</t>
  </si>
  <si>
    <t xml:space="preserve">Fm</t>
  </si>
  <si>
    <t xml:space="preserve">Fv/Fm</t>
  </si>
  <si>
    <t xml:space="preserve">Option B | Minimum add-on: shoot/root dry weight, MDA, proline, leaf and root Na+/K+</t>
  </si>
  <si>
    <t xml:space="preserve">Same 64 pots and harvest day as Option A. Proline standard curve from Std_Curves.</t>
  </si>
  <si>
    <t xml:space="preserve">Biomass</t>
  </si>
  <si>
    <t xml:space="preserve">MDA</t>
  </si>
  <si>
    <t xml:space="preserve">Leaf  digest</t>
  </si>
  <si>
    <t xml:space="preserve">Leaf  ions</t>
  </si>
  <si>
    <t xml:space="preserve">Root  digest</t>
  </si>
  <si>
    <t xml:space="preserve">Root  ions</t>
  </si>
  <si>
    <t xml:space="preserve">Root/shoot ratio</t>
  </si>
  <si>
    <t xml:space="preserve">Summary: treatment means and n (updates automatically; EX rows excluded)</t>
  </si>
  <si>
    <t xml:space="preserve">Use these means for a quick look only; the full statistics (ANOVA/MANOVA) will be run on the replicate rows.</t>
  </si>
  <si>
    <t xml:space="preserve">n (B_Minimal rows with MDA)</t>
  </si>
  <si>
    <t xml:space="preserve">Shoot DW (g) [B_Minimal]</t>
  </si>
  <si>
    <t xml:space="preserve">Root DW (g) [B_Minimal]</t>
  </si>
  <si>
    <t xml:space="preserve">Root/shoot ratio [B_Minimal]</t>
  </si>
  <si>
    <t xml:space="preserve">MDA (nmol/g FW) [B_Minimal]</t>
  </si>
  <si>
    <t xml:space="preserve">Proline (µmol/g FW) [B_Minimal]</t>
  </si>
  <si>
    <t xml:space="preserve">L Na (mg/g DW) [B_Minimal]</t>
  </si>
  <si>
    <t xml:space="preserve">L K (mg/g DW) [B_Minimal]</t>
  </si>
  <si>
    <t xml:space="preserve">L K/Na ratio (molar) [B_Minimal]</t>
  </si>
  <si>
    <t xml:space="preserve">R Na (mg/g DW) [B_Minimal]</t>
  </si>
  <si>
    <t xml:space="preserve">R K/Na ratio (molar) [B_Minimal]</t>
  </si>
  <si>
    <t xml:space="preserve">RWC (%) [A2_Growth_Harvest]</t>
  </si>
  <si>
    <t xml:space="preserve">Electrolyte leakage (%) [A2_Growth_Harvest]</t>
  </si>
  <si>
    <t xml:space="preserve">Total Chl (mg/g FW) [A3_Pigments]</t>
  </si>
  <si>
    <t xml:space="preserve">H2O2 (µmol/g FW) [A4_Osmo_Oxidative]</t>
  </si>
  <si>
    <t xml:space="preserve">SOD (U/mg protein) [A5_Enzymes]</t>
  </si>
  <si>
    <t xml:space="preserve">CAT (µmol H2O2/min/mg protein) [A5_Enzymes]</t>
  </si>
  <si>
    <t xml:space="preserve">APX (µmol ASA/min/mg protein) [A5_Enzymes]</t>
  </si>
  <si>
    <t xml:space="preserve">POD (µmol/min/mg protein) [A5_Enzymes]</t>
  </si>
  <si>
    <t xml:space="preserve">L K/Na ratio (molar) [A6_Ions]</t>
  </si>
  <si>
    <t xml:space="preserve">R K/Na ratio (molar) [A6_Ions]</t>
  </si>
  <si>
    <t xml:space="preserve">Timeline (both options; Option B skips the rows marked A only)</t>
  </si>
  <si>
    <t xml:space="preserve">Enter actual dates in the yellow column.</t>
  </si>
  <si>
    <t xml:space="preserve">Day (DAS)</t>
  </si>
  <si>
    <t xml:space="preserve">Activity</t>
  </si>
  <si>
    <t xml:space="preserve">Actual date</t>
  </si>
  <si>
    <t xml:space="preserve">-7 to -1</t>
  </si>
  <si>
    <t xml:space="preserve">Revive IS-05, IS-06 (and IS-04 for C4-5) on nutrient agar; purity check; prepare potting mix (soil:cocopeat 1:2), sterilize, fill 64 pots of 2.5 kg</t>
  </si>
  <si>
    <t xml:space="preserve">0</t>
  </si>
  <si>
    <t xml:space="preserve">Surface-sterilize IR-64 seeds; bacterize 30 min (~10^8 CFU/mL; check by plate count); sow 10 seeds per pot; record in Layout</t>
  </si>
  <si>
    <t xml:space="preserve">7</t>
  </si>
  <si>
    <t xml:space="preserve">Count emergence (Layout)</t>
  </si>
  <si>
    <t xml:space="preserve">10</t>
  </si>
  <si>
    <t xml:space="preserve">Thin to 3 uniform plants per pot</t>
  </si>
  <si>
    <t xml:space="preserve">15</t>
  </si>
  <si>
    <t xml:space="preserve">START NaCl irrigation (record exact date). 50, 100 and 150 mM NaCl (2.922, 5.844 and 8.766 g/L): 500 mL on alternate days for 30 days; 0 mM pots get the same volume of water. Heights and leaf counts (A1)</t>
  </si>
  <si>
    <t xml:space="preserve">25, 35</t>
  </si>
  <si>
    <t xml:space="preserve">A only</t>
  </si>
  <si>
    <t xml:space="preserve">Heights and leaf counts (A1)</t>
  </si>
  <si>
    <t xml:space="preserve">40-44</t>
  </si>
  <si>
    <t xml:space="preserve">Gas exchange and Fv/Fm, 09:00-11:00 h (A7), if instruments available</t>
  </si>
  <si>
    <t xml:space="preserve">45 (harvest, morning)</t>
  </si>
  <si>
    <t xml:space="preserve">Heights and leaf counts (A1); sample leaves for RWC, electrolyte leakage, pigments, MDA, H2O2, proline, sugars, protein, enzymes (keep on ice); uproot and wash roots</t>
  </si>
  <si>
    <t xml:space="preserve">45</t>
  </si>
  <si>
    <t xml:space="preserve">Root scanning before drying (A2), leaf area scans</t>
  </si>
  <si>
    <t xml:space="preserve">Shoot and root fresh weights; oven-dry at 70 °C for 72 h</t>
  </si>
  <si>
    <t xml:space="preserve">45-46</t>
  </si>
  <si>
    <t xml:space="preserve">MDA and proline (same day if possible); A: pigments, H2O2, enzymes on fresh extract</t>
  </si>
  <si>
    <t xml:space="preserve">48-60</t>
  </si>
  <si>
    <t xml:space="preserve">Dry weights; grind dry tissue; digest for Na, K (and Ca, Mg for A); flame photometer or outsourced analysis</t>
  </si>
  <si>
    <t xml:space="preserve">60-65</t>
  </si>
  <si>
    <t xml:space="preserve">Enter all data; send the workbook back for statistics and manuscript update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</si>
</sst>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"/>
    <numFmt numFmtId="167" formatCode="0.0000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Times New Roman"/>
      <family val="0"/>
      <charset val="1"/>
    </font>
    <font>
      <i val="true"/>
      <sz val="11"/>
      <color rgb="FF444444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000000"/>
      <name val="Times New Roman"/>
      <family val="0"/>
      <charset val="1"/>
    </font>
    <font>
      <i val="true"/>
      <sz val="11"/>
      <color rgb="FF666666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0"/>
      <name val="Arial"/>
      <family val="2"/>
    </font>
    <font>
      <sz val="11"/>
      <color theme="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D9E2F3"/>
      </patternFill>
    </fill>
    <fill>
      <patternFill patternType="solid">
        <fgColor rgb="FFD9E2F3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6" t="s">
        <v>9</v>
      </c>
      <c r="B8" s="4" t="s">
        <v>10</v>
      </c>
    </row>
    <row r="9" customFormat="false" ht="15" hidden="false" customHeight="false" outlineLevel="0" collapsed="false">
      <c r="A9" s="6" t="s">
        <v>11</v>
      </c>
      <c r="B9" s="4" t="s">
        <v>12</v>
      </c>
    </row>
    <row r="10" customFormat="false" ht="15" hidden="false" customHeight="false" outlineLevel="0" collapsed="false">
      <c r="A10" s="6"/>
      <c r="B10" s="4"/>
    </row>
    <row r="11" customFormat="false" ht="15" hidden="false" customHeight="false" outlineLevel="0" collapsed="false">
      <c r="A11" s="3" t="s">
        <v>13</v>
      </c>
      <c r="B11" s="4"/>
    </row>
    <row r="12" customFormat="false" ht="15" hidden="false" customHeight="false" outlineLevel="0" collapsed="false">
      <c r="A12" s="6" t="s">
        <v>14</v>
      </c>
      <c r="B12" s="4" t="s">
        <v>15</v>
      </c>
    </row>
    <row r="13" customFormat="false" ht="15" hidden="false" customHeight="false" outlineLevel="0" collapsed="false">
      <c r="A13" s="6" t="s">
        <v>16</v>
      </c>
      <c r="B13" s="4" t="s">
        <v>17</v>
      </c>
    </row>
    <row r="14" customFormat="false" ht="15" hidden="false" customHeight="false" outlineLevel="0" collapsed="false">
      <c r="A14" s="6" t="s">
        <v>18</v>
      </c>
      <c r="B14" s="4" t="s">
        <v>19</v>
      </c>
    </row>
    <row r="15" customFormat="false" ht="15" hidden="false" customHeight="false" outlineLevel="0" collapsed="false">
      <c r="A15" s="6" t="s">
        <v>20</v>
      </c>
      <c r="B15" s="4" t="s">
        <v>21</v>
      </c>
    </row>
    <row r="16" customFormat="false" ht="15" hidden="false" customHeight="false" outlineLevel="0" collapsed="false">
      <c r="A16" s="6"/>
      <c r="B16" s="4"/>
    </row>
    <row r="17" customFormat="false" ht="15" hidden="false" customHeight="false" outlineLevel="0" collapsed="false">
      <c r="A17" s="3" t="s">
        <v>22</v>
      </c>
      <c r="B17" s="4"/>
    </row>
    <row r="18" customFormat="false" ht="15" hidden="false" customHeight="false" outlineLevel="0" collapsed="false">
      <c r="A18" s="6" t="s">
        <v>23</v>
      </c>
      <c r="B18" s="4" t="s">
        <v>24</v>
      </c>
    </row>
    <row r="19" customFormat="false" ht="15" hidden="false" customHeight="false" outlineLevel="0" collapsed="false">
      <c r="A19" s="6" t="s">
        <v>25</v>
      </c>
      <c r="B19" s="4" t="s">
        <v>26</v>
      </c>
    </row>
    <row r="20" customFormat="false" ht="15" hidden="false" customHeight="false" outlineLevel="0" collapsed="false">
      <c r="A20" s="6" t="s">
        <v>27</v>
      </c>
      <c r="B20" s="4" t="s">
        <v>28</v>
      </c>
    </row>
    <row r="21" customFormat="false" ht="15" hidden="false" customHeight="false" outlineLevel="0" collapsed="false">
      <c r="A21" s="6" t="s">
        <v>29</v>
      </c>
      <c r="B21" s="4" t="s">
        <v>30</v>
      </c>
    </row>
    <row r="22" customFormat="false" ht="15" hidden="false" customHeight="false" outlineLevel="0" collapsed="false">
      <c r="A22" s="6" t="s">
        <v>31</v>
      </c>
      <c r="B22" s="4" t="s">
        <v>32</v>
      </c>
    </row>
    <row r="23" customFormat="false" ht="15" hidden="false" customHeight="false" outlineLevel="0" collapsed="false">
      <c r="A23" s="6" t="s">
        <v>33</v>
      </c>
      <c r="B23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</row>
    <row r="5" customFormat="false" ht="25.35" hidden="false" customHeight="false" outlineLevel="0" collapsed="false">
      <c r="A5" s="9" t="s">
        <v>43</v>
      </c>
      <c r="B5" s="9" t="s">
        <v>44</v>
      </c>
      <c r="C5" s="9" t="s">
        <v>45</v>
      </c>
      <c r="D5" s="9" t="s">
        <v>46</v>
      </c>
      <c r="E5" s="10" t="s">
        <v>47</v>
      </c>
      <c r="F5" s="9" t="s">
        <v>48</v>
      </c>
    </row>
    <row r="6" customFormat="false" ht="15" hidden="false" customHeight="false" outlineLevel="0" collapsed="false">
      <c r="A6" s="9" t="s">
        <v>49</v>
      </c>
      <c r="B6" s="9" t="s">
        <v>50</v>
      </c>
      <c r="C6" s="9" t="s">
        <v>51</v>
      </c>
      <c r="D6" s="9" t="s">
        <v>52</v>
      </c>
      <c r="E6" s="10" t="s">
        <v>53</v>
      </c>
      <c r="F6" s="9" t="s">
        <v>48</v>
      </c>
    </row>
    <row r="7" customFormat="false" ht="25.35" hidden="false" customHeight="false" outlineLevel="0" collapsed="false">
      <c r="A7" s="9" t="s">
        <v>54</v>
      </c>
      <c r="B7" s="9" t="s">
        <v>50</v>
      </c>
      <c r="C7" s="9" t="s">
        <v>55</v>
      </c>
      <c r="D7" s="9" t="s">
        <v>56</v>
      </c>
      <c r="E7" s="10" t="s">
        <v>57</v>
      </c>
      <c r="F7" s="9" t="s">
        <v>58</v>
      </c>
    </row>
    <row r="8" customFormat="false" ht="25.35" hidden="false" customHeight="false" outlineLevel="0" collapsed="false">
      <c r="A8" s="9" t="s">
        <v>59</v>
      </c>
      <c r="B8" s="9" t="s">
        <v>44</v>
      </c>
      <c r="C8" s="9" t="s">
        <v>60</v>
      </c>
      <c r="D8" s="9" t="s">
        <v>61</v>
      </c>
      <c r="E8" s="10" t="s">
        <v>62</v>
      </c>
      <c r="F8" s="9" t="s">
        <v>63</v>
      </c>
    </row>
    <row r="9" customFormat="false" ht="25.35" hidden="false" customHeight="false" outlineLevel="0" collapsed="false">
      <c r="A9" s="9" t="s">
        <v>64</v>
      </c>
      <c r="B9" s="9" t="s">
        <v>65</v>
      </c>
      <c r="C9" s="9" t="s">
        <v>66</v>
      </c>
      <c r="D9" s="9" t="s">
        <v>67</v>
      </c>
      <c r="E9" s="10" t="s">
        <v>62</v>
      </c>
      <c r="F9" s="9" t="s">
        <v>68</v>
      </c>
    </row>
    <row r="10" customFormat="false" ht="25.35" hidden="false" customHeight="false" outlineLevel="0" collapsed="false">
      <c r="A10" s="9" t="s">
        <v>69</v>
      </c>
      <c r="B10" s="9" t="s">
        <v>44</v>
      </c>
      <c r="C10" s="9" t="s">
        <v>70</v>
      </c>
      <c r="D10" s="9" t="s">
        <v>71</v>
      </c>
      <c r="E10" s="10" t="s">
        <v>53</v>
      </c>
      <c r="F10" s="9" t="s">
        <v>48</v>
      </c>
    </row>
    <row r="11" customFormat="false" ht="15" hidden="false" customHeight="false" outlineLevel="0" collapsed="false">
      <c r="A11" s="9" t="s">
        <v>72</v>
      </c>
      <c r="B11" s="9" t="s">
        <v>44</v>
      </c>
      <c r="C11" s="9" t="s">
        <v>73</v>
      </c>
      <c r="D11" s="9" t="s">
        <v>74</v>
      </c>
      <c r="E11" s="9" t="s">
        <v>75</v>
      </c>
      <c r="F11" s="9" t="s">
        <v>48</v>
      </c>
    </row>
    <row r="12" customFormat="false" ht="25.35" hidden="false" customHeight="false" outlineLevel="0" collapsed="false">
      <c r="A12" s="9" t="s">
        <v>76</v>
      </c>
      <c r="B12" s="9" t="s">
        <v>44</v>
      </c>
      <c r="C12" s="9" t="s">
        <v>77</v>
      </c>
      <c r="D12" s="9" t="s">
        <v>78</v>
      </c>
      <c r="E12" s="10" t="s">
        <v>57</v>
      </c>
      <c r="F12" s="9" t="s">
        <v>79</v>
      </c>
    </row>
    <row r="13" customFormat="false" ht="15" hidden="false" customHeight="false" outlineLevel="0" collapsed="false">
      <c r="A13" s="9" t="s">
        <v>80</v>
      </c>
      <c r="B13" s="9" t="s">
        <v>50</v>
      </c>
      <c r="C13" s="9" t="s">
        <v>81</v>
      </c>
      <c r="D13" s="9" t="s">
        <v>82</v>
      </c>
      <c r="E13" s="10" t="s">
        <v>53</v>
      </c>
      <c r="F13" s="9" t="s">
        <v>48</v>
      </c>
    </row>
    <row r="14" customFormat="false" ht="15" hidden="false" customHeight="false" outlineLevel="0" collapsed="false">
      <c r="A14" s="9" t="s">
        <v>83</v>
      </c>
      <c r="B14" s="9" t="s">
        <v>44</v>
      </c>
      <c r="C14" s="9" t="s">
        <v>84</v>
      </c>
      <c r="D14" s="9" t="s">
        <v>85</v>
      </c>
      <c r="E14" s="10" t="s">
        <v>53</v>
      </c>
      <c r="F14" s="9" t="s">
        <v>48</v>
      </c>
    </row>
    <row r="15" customFormat="false" ht="15" hidden="false" customHeight="false" outlineLevel="0" collapsed="false">
      <c r="A15" s="9" t="s">
        <v>86</v>
      </c>
      <c r="B15" s="9" t="s">
        <v>50</v>
      </c>
      <c r="C15" s="9" t="s">
        <v>87</v>
      </c>
      <c r="D15" s="9" t="s">
        <v>82</v>
      </c>
      <c r="E15" s="10" t="s">
        <v>53</v>
      </c>
      <c r="F15" s="9" t="s">
        <v>48</v>
      </c>
    </row>
    <row r="16" customFormat="false" ht="15" hidden="false" customHeight="false" outlineLevel="0" collapsed="false">
      <c r="A16" s="9" t="s">
        <v>88</v>
      </c>
      <c r="B16" s="9" t="s">
        <v>44</v>
      </c>
      <c r="C16" s="9" t="s">
        <v>89</v>
      </c>
      <c r="D16" s="9" t="s">
        <v>90</v>
      </c>
      <c r="E16" s="10" t="s">
        <v>53</v>
      </c>
      <c r="F16" s="9" t="s">
        <v>48</v>
      </c>
    </row>
    <row r="17" customFormat="false" ht="25.35" hidden="false" customHeight="false" outlineLevel="0" collapsed="false">
      <c r="A17" s="9" t="s">
        <v>91</v>
      </c>
      <c r="B17" s="9" t="s">
        <v>44</v>
      </c>
      <c r="C17" s="9" t="s">
        <v>92</v>
      </c>
      <c r="D17" s="9" t="s">
        <v>93</v>
      </c>
      <c r="E17" s="9" t="s">
        <v>94</v>
      </c>
      <c r="F17" s="9" t="s">
        <v>95</v>
      </c>
    </row>
    <row r="18" customFormat="false" ht="25.35" hidden="false" customHeight="false" outlineLevel="0" collapsed="false">
      <c r="A18" s="9" t="s">
        <v>96</v>
      </c>
      <c r="B18" s="9" t="s">
        <v>44</v>
      </c>
      <c r="C18" s="9" t="s">
        <v>97</v>
      </c>
      <c r="D18" s="9" t="s">
        <v>98</v>
      </c>
      <c r="E18" s="10" t="s">
        <v>99</v>
      </c>
      <c r="F18" s="9" t="s">
        <v>100</v>
      </c>
    </row>
    <row r="19" customFormat="false" ht="25.35" hidden="false" customHeight="false" outlineLevel="0" collapsed="false">
      <c r="A19" s="9" t="s">
        <v>101</v>
      </c>
      <c r="B19" s="9" t="s">
        <v>44</v>
      </c>
      <c r="C19" s="9" t="s">
        <v>102</v>
      </c>
      <c r="D19" s="9" t="s">
        <v>103</v>
      </c>
      <c r="E19" s="10" t="s">
        <v>62</v>
      </c>
      <c r="F19" s="9" t="s">
        <v>104</v>
      </c>
    </row>
    <row r="20" customFormat="false" ht="15" hidden="false" customHeight="false" outlineLevel="0" collapsed="false">
      <c r="A20" s="9" t="s">
        <v>105</v>
      </c>
      <c r="B20" s="9" t="s">
        <v>44</v>
      </c>
      <c r="C20" s="9" t="s">
        <v>106</v>
      </c>
      <c r="D20" s="9" t="s">
        <v>85</v>
      </c>
      <c r="E20" s="10" t="s">
        <v>53</v>
      </c>
      <c r="F20" s="9" t="s">
        <v>48</v>
      </c>
    </row>
    <row r="21" customFormat="false" ht="25.35" hidden="false" customHeight="false" outlineLevel="0" collapsed="false">
      <c r="A21" s="9" t="s">
        <v>107</v>
      </c>
      <c r="B21" s="9" t="s">
        <v>50</v>
      </c>
      <c r="C21" s="9" t="s">
        <v>108</v>
      </c>
      <c r="D21" s="9" t="s">
        <v>109</v>
      </c>
      <c r="E21" s="10" t="s">
        <v>57</v>
      </c>
      <c r="F21" s="9" t="s">
        <v>110</v>
      </c>
    </row>
    <row r="22" customFormat="false" ht="15" hidden="false" customHeight="false" outlineLevel="0" collapsed="false">
      <c r="A22" s="9" t="s">
        <v>111</v>
      </c>
      <c r="B22" s="9" t="s">
        <v>44</v>
      </c>
      <c r="C22" s="9" t="s">
        <v>112</v>
      </c>
      <c r="D22" s="9" t="s">
        <v>113</v>
      </c>
      <c r="E22" s="10" t="s">
        <v>62</v>
      </c>
      <c r="F22" s="9" t="s">
        <v>114</v>
      </c>
    </row>
    <row r="23" customFormat="false" ht="15" hidden="false" customHeight="false" outlineLevel="0" collapsed="false">
      <c r="A23" s="9" t="s">
        <v>115</v>
      </c>
      <c r="B23" s="9" t="s">
        <v>65</v>
      </c>
      <c r="C23" s="9" t="s">
        <v>116</v>
      </c>
      <c r="D23" s="9" t="s">
        <v>117</v>
      </c>
      <c r="E23" s="9" t="s">
        <v>118</v>
      </c>
      <c r="F23" s="9" t="s">
        <v>119</v>
      </c>
    </row>
    <row r="24" customFormat="false" ht="15" hidden="false" customHeight="false" outlineLevel="0" collapsed="false">
      <c r="A24" s="9" t="s">
        <v>120</v>
      </c>
      <c r="B24" s="9" t="s">
        <v>65</v>
      </c>
      <c r="C24" s="9" t="s">
        <v>121</v>
      </c>
      <c r="D24" s="9" t="s">
        <v>122</v>
      </c>
      <c r="E24" s="9" t="s">
        <v>118</v>
      </c>
      <c r="F24" s="9" t="s">
        <v>123</v>
      </c>
    </row>
    <row r="25" customFormat="false" ht="15" hidden="false" customHeight="false" outlineLevel="0" collapsed="false">
      <c r="A25" s="9" t="s">
        <v>124</v>
      </c>
      <c r="B25" s="9" t="s">
        <v>50</v>
      </c>
      <c r="C25" s="9" t="s">
        <v>125</v>
      </c>
      <c r="D25" s="9" t="s">
        <v>126</v>
      </c>
      <c r="E25" s="10" t="s">
        <v>127</v>
      </c>
      <c r="F25" s="9" t="s">
        <v>48</v>
      </c>
    </row>
    <row r="27" customFormat="false" ht="15" hidden="false" customHeight="false" outlineLevel="0" collapsed="false">
      <c r="A27" s="1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2" min="10" style="0" width="11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6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45" hidden="false" customHeight="true" outlineLevel="0" collapsed="false">
      <c r="A4" s="12" t="s">
        <v>131</v>
      </c>
      <c r="B4" s="12" t="s">
        <v>132</v>
      </c>
      <c r="C4" s="12" t="s">
        <v>133</v>
      </c>
      <c r="D4" s="12" t="s">
        <v>134</v>
      </c>
      <c r="E4" s="12" t="s">
        <v>135</v>
      </c>
      <c r="F4" s="12" t="s">
        <v>136</v>
      </c>
      <c r="G4" s="12" t="s">
        <v>137</v>
      </c>
      <c r="H4" s="12" t="s">
        <v>138</v>
      </c>
      <c r="I4" s="12" t="s">
        <v>139</v>
      </c>
      <c r="J4" s="12" t="s">
        <v>140</v>
      </c>
      <c r="K4" s="12" t="s">
        <v>141</v>
      </c>
      <c r="L4" s="12" t="s">
        <v>142</v>
      </c>
      <c r="M4" s="12" t="s">
        <v>143</v>
      </c>
      <c r="N4" s="12" t="s">
        <v>144</v>
      </c>
    </row>
    <row r="5" customFormat="false" ht="15" hidden="false" customHeight="false" outlineLevel="0" collapsed="false">
      <c r="A5" s="13" t="s">
        <v>145</v>
      </c>
      <c r="B5" s="13" t="s">
        <v>146</v>
      </c>
      <c r="C5" s="13" t="s">
        <v>147</v>
      </c>
      <c r="D5" s="13" t="n">
        <v>0</v>
      </c>
      <c r="E5" s="13" t="n">
        <v>1</v>
      </c>
      <c r="F5" s="13" t="n">
        <v>60</v>
      </c>
      <c r="G5" s="14"/>
      <c r="H5" s="14"/>
      <c r="I5" s="14"/>
      <c r="J5" s="15" t="str">
        <f aca="false">IF(OR(H5="",I5=""),"",I5/H5*100)</f>
        <v/>
      </c>
      <c r="K5" s="14"/>
      <c r="L5" s="14"/>
      <c r="M5" s="15" t="str">
        <f aca="false">IF(OR(K5="",L5=""),"",L5/K5*100)</f>
        <v/>
      </c>
      <c r="N5" s="14"/>
    </row>
    <row r="6" customFormat="false" ht="15" hidden="false" customHeight="false" outlineLevel="0" collapsed="false">
      <c r="A6" s="13" t="s">
        <v>148</v>
      </c>
      <c r="B6" s="13" t="s">
        <v>146</v>
      </c>
      <c r="C6" s="13" t="s">
        <v>147</v>
      </c>
      <c r="D6" s="13" t="n">
        <v>0</v>
      </c>
      <c r="E6" s="13" t="n">
        <v>2</v>
      </c>
      <c r="F6" s="13" t="n">
        <v>46</v>
      </c>
      <c r="G6" s="14"/>
      <c r="H6" s="14"/>
      <c r="I6" s="14"/>
      <c r="J6" s="15" t="str">
        <f aca="false">IF(OR(H6="",I6=""),"",I6/H6*100)</f>
        <v/>
      </c>
      <c r="K6" s="14"/>
      <c r="L6" s="14"/>
      <c r="M6" s="15" t="str">
        <f aca="false">IF(OR(K6="",L6=""),"",L6/K6*100)</f>
        <v/>
      </c>
      <c r="N6" s="14"/>
    </row>
    <row r="7" customFormat="false" ht="15" hidden="false" customHeight="false" outlineLevel="0" collapsed="false">
      <c r="A7" s="13" t="s">
        <v>149</v>
      </c>
      <c r="B7" s="13" t="s">
        <v>146</v>
      </c>
      <c r="C7" s="13" t="s">
        <v>147</v>
      </c>
      <c r="D7" s="13" t="n">
        <v>0</v>
      </c>
      <c r="E7" s="13" t="n">
        <v>3</v>
      </c>
      <c r="F7" s="13" t="n">
        <v>2</v>
      </c>
      <c r="G7" s="14"/>
      <c r="H7" s="14"/>
      <c r="I7" s="14"/>
      <c r="J7" s="15" t="str">
        <f aca="false">IF(OR(H7="",I7=""),"",I7/H7*100)</f>
        <v/>
      </c>
      <c r="K7" s="14"/>
      <c r="L7" s="14"/>
      <c r="M7" s="15" t="str">
        <f aca="false">IF(OR(K7="",L7=""),"",L7/K7*100)</f>
        <v/>
      </c>
      <c r="N7" s="14"/>
    </row>
    <row r="8" customFormat="false" ht="15" hidden="false" customHeight="false" outlineLevel="0" collapsed="false">
      <c r="A8" s="13" t="s">
        <v>150</v>
      </c>
      <c r="B8" s="13" t="s">
        <v>146</v>
      </c>
      <c r="C8" s="13" t="s">
        <v>147</v>
      </c>
      <c r="D8" s="13" t="n">
        <v>0</v>
      </c>
      <c r="E8" s="13" t="n">
        <v>4</v>
      </c>
      <c r="F8" s="13" t="n">
        <v>31</v>
      </c>
      <c r="G8" s="14"/>
      <c r="H8" s="14"/>
      <c r="I8" s="14"/>
      <c r="J8" s="15" t="str">
        <f aca="false">IF(OR(H8="",I8=""),"",I8/H8*100)</f>
        <v/>
      </c>
      <c r="K8" s="14"/>
      <c r="L8" s="14"/>
      <c r="M8" s="15" t="str">
        <f aca="false">IF(OR(K8="",L8=""),"",L8/K8*100)</f>
        <v/>
      </c>
      <c r="N8" s="14"/>
    </row>
    <row r="9" customFormat="false" ht="15" hidden="false" customHeight="false" outlineLevel="0" collapsed="false">
      <c r="A9" s="13" t="s">
        <v>151</v>
      </c>
      <c r="B9" s="13" t="s">
        <v>152</v>
      </c>
      <c r="C9" s="13" t="s">
        <v>147</v>
      </c>
      <c r="D9" s="13" t="n">
        <v>50</v>
      </c>
      <c r="E9" s="13" t="n">
        <v>1</v>
      </c>
      <c r="F9" s="13" t="n">
        <v>59</v>
      </c>
      <c r="G9" s="14"/>
      <c r="H9" s="14"/>
      <c r="I9" s="14"/>
      <c r="J9" s="15" t="str">
        <f aca="false">IF(OR(H9="",I9=""),"",I9/H9*100)</f>
        <v/>
      </c>
      <c r="K9" s="14"/>
      <c r="L9" s="14"/>
      <c r="M9" s="15" t="str">
        <f aca="false">IF(OR(K9="",L9=""),"",L9/K9*100)</f>
        <v/>
      </c>
      <c r="N9" s="14"/>
    </row>
    <row r="10" customFormat="false" ht="15" hidden="false" customHeight="false" outlineLevel="0" collapsed="false">
      <c r="A10" s="13" t="s">
        <v>153</v>
      </c>
      <c r="B10" s="13" t="s">
        <v>152</v>
      </c>
      <c r="C10" s="13" t="s">
        <v>147</v>
      </c>
      <c r="D10" s="13" t="n">
        <v>50</v>
      </c>
      <c r="E10" s="13" t="n">
        <v>2</v>
      </c>
      <c r="F10" s="13" t="n">
        <v>4</v>
      </c>
      <c r="G10" s="14"/>
      <c r="H10" s="14"/>
      <c r="I10" s="14"/>
      <c r="J10" s="15" t="str">
        <f aca="false">IF(OR(H10="",I10=""),"",I10/H10*100)</f>
        <v/>
      </c>
      <c r="K10" s="14"/>
      <c r="L10" s="14"/>
      <c r="M10" s="15" t="str">
        <f aca="false">IF(OR(K10="",L10=""),"",L10/K10*100)</f>
        <v/>
      </c>
      <c r="N10" s="14"/>
    </row>
    <row r="11" customFormat="false" ht="15" hidden="false" customHeight="false" outlineLevel="0" collapsed="false">
      <c r="A11" s="13" t="s">
        <v>154</v>
      </c>
      <c r="B11" s="13" t="s">
        <v>152</v>
      </c>
      <c r="C11" s="13" t="s">
        <v>147</v>
      </c>
      <c r="D11" s="13" t="n">
        <v>50</v>
      </c>
      <c r="E11" s="13" t="n">
        <v>3</v>
      </c>
      <c r="F11" s="13" t="n">
        <v>44</v>
      </c>
      <c r="G11" s="14"/>
      <c r="H11" s="14"/>
      <c r="I11" s="14"/>
      <c r="J11" s="15" t="str">
        <f aca="false">IF(OR(H11="",I11=""),"",I11/H11*100)</f>
        <v/>
      </c>
      <c r="K11" s="14"/>
      <c r="L11" s="14"/>
      <c r="M11" s="15" t="str">
        <f aca="false">IF(OR(K11="",L11=""),"",L11/K11*100)</f>
        <v/>
      </c>
      <c r="N11" s="14"/>
    </row>
    <row r="12" customFormat="false" ht="15" hidden="false" customHeight="false" outlineLevel="0" collapsed="false">
      <c r="A12" s="13" t="s">
        <v>155</v>
      </c>
      <c r="B12" s="13" t="s">
        <v>152</v>
      </c>
      <c r="C12" s="13" t="s">
        <v>147</v>
      </c>
      <c r="D12" s="13" t="n">
        <v>50</v>
      </c>
      <c r="E12" s="13" t="n">
        <v>4</v>
      </c>
      <c r="F12" s="13" t="n">
        <v>41</v>
      </c>
      <c r="G12" s="14"/>
      <c r="H12" s="14"/>
      <c r="I12" s="14"/>
      <c r="J12" s="15" t="str">
        <f aca="false">IF(OR(H12="",I12=""),"",I12/H12*100)</f>
        <v/>
      </c>
      <c r="K12" s="14"/>
      <c r="L12" s="14"/>
      <c r="M12" s="15" t="str">
        <f aca="false">IF(OR(K12="",L12=""),"",L12/K12*100)</f>
        <v/>
      </c>
      <c r="N12" s="14"/>
    </row>
    <row r="13" customFormat="false" ht="15" hidden="false" customHeight="false" outlineLevel="0" collapsed="false">
      <c r="A13" s="13" t="s">
        <v>156</v>
      </c>
      <c r="B13" s="13" t="s">
        <v>157</v>
      </c>
      <c r="C13" s="13" t="s">
        <v>147</v>
      </c>
      <c r="D13" s="13" t="n">
        <v>100</v>
      </c>
      <c r="E13" s="13" t="n">
        <v>1</v>
      </c>
      <c r="F13" s="13" t="n">
        <v>49</v>
      </c>
      <c r="G13" s="14"/>
      <c r="H13" s="14"/>
      <c r="I13" s="14"/>
      <c r="J13" s="15" t="str">
        <f aca="false">IF(OR(H13="",I13=""),"",I13/H13*100)</f>
        <v/>
      </c>
      <c r="K13" s="14"/>
      <c r="L13" s="14"/>
      <c r="M13" s="15" t="str">
        <f aca="false">IF(OR(K13="",L13=""),"",L13/K13*100)</f>
        <v/>
      </c>
      <c r="N13" s="14"/>
    </row>
    <row r="14" customFormat="false" ht="15" hidden="false" customHeight="false" outlineLevel="0" collapsed="false">
      <c r="A14" s="13" t="s">
        <v>158</v>
      </c>
      <c r="B14" s="13" t="s">
        <v>157</v>
      </c>
      <c r="C14" s="13" t="s">
        <v>147</v>
      </c>
      <c r="D14" s="13" t="n">
        <v>100</v>
      </c>
      <c r="E14" s="13" t="n">
        <v>2</v>
      </c>
      <c r="F14" s="13" t="n">
        <v>5</v>
      </c>
      <c r="G14" s="14"/>
      <c r="H14" s="14"/>
      <c r="I14" s="14"/>
      <c r="J14" s="15" t="str">
        <f aca="false">IF(OR(H14="",I14=""),"",I14/H14*100)</f>
        <v/>
      </c>
      <c r="K14" s="14"/>
      <c r="L14" s="14"/>
      <c r="M14" s="15" t="str">
        <f aca="false">IF(OR(K14="",L14=""),"",L14/K14*100)</f>
        <v/>
      </c>
      <c r="N14" s="14"/>
    </row>
    <row r="15" customFormat="false" ht="15" hidden="false" customHeight="false" outlineLevel="0" collapsed="false">
      <c r="A15" s="13" t="s">
        <v>159</v>
      </c>
      <c r="B15" s="13" t="s">
        <v>157</v>
      </c>
      <c r="C15" s="13" t="s">
        <v>147</v>
      </c>
      <c r="D15" s="13" t="n">
        <v>100</v>
      </c>
      <c r="E15" s="13" t="n">
        <v>3</v>
      </c>
      <c r="F15" s="13" t="n">
        <v>25</v>
      </c>
      <c r="G15" s="14"/>
      <c r="H15" s="14"/>
      <c r="I15" s="14"/>
      <c r="J15" s="15" t="str">
        <f aca="false">IF(OR(H15="",I15=""),"",I15/H15*100)</f>
        <v/>
      </c>
      <c r="K15" s="14"/>
      <c r="L15" s="14"/>
      <c r="M15" s="15" t="str">
        <f aca="false">IF(OR(K15="",L15=""),"",L15/K15*100)</f>
        <v/>
      </c>
      <c r="N15" s="14"/>
    </row>
    <row r="16" customFormat="false" ht="15" hidden="false" customHeight="false" outlineLevel="0" collapsed="false">
      <c r="A16" s="13" t="s">
        <v>160</v>
      </c>
      <c r="B16" s="13" t="s">
        <v>157</v>
      </c>
      <c r="C16" s="13" t="s">
        <v>147</v>
      </c>
      <c r="D16" s="13" t="n">
        <v>100</v>
      </c>
      <c r="E16" s="13" t="n">
        <v>4</v>
      </c>
      <c r="F16" s="13" t="n">
        <v>52</v>
      </c>
      <c r="G16" s="14"/>
      <c r="H16" s="14"/>
      <c r="I16" s="14"/>
      <c r="J16" s="15" t="str">
        <f aca="false">IF(OR(H16="",I16=""),"",I16/H16*100)</f>
        <v/>
      </c>
      <c r="K16" s="14"/>
      <c r="L16" s="14"/>
      <c r="M16" s="15" t="str">
        <f aca="false">IF(OR(K16="",L16=""),"",L16/K16*100)</f>
        <v/>
      </c>
      <c r="N16" s="14"/>
    </row>
    <row r="17" customFormat="false" ht="15" hidden="false" customHeight="false" outlineLevel="0" collapsed="false">
      <c r="A17" s="13" t="s">
        <v>161</v>
      </c>
      <c r="B17" s="13" t="s">
        <v>162</v>
      </c>
      <c r="C17" s="13" t="s">
        <v>147</v>
      </c>
      <c r="D17" s="13" t="n">
        <v>150</v>
      </c>
      <c r="E17" s="13" t="n">
        <v>1</v>
      </c>
      <c r="F17" s="13" t="n">
        <v>50</v>
      </c>
      <c r="G17" s="14"/>
      <c r="H17" s="14"/>
      <c r="I17" s="14"/>
      <c r="J17" s="15" t="str">
        <f aca="false">IF(OR(H17="",I17=""),"",I17/H17*100)</f>
        <v/>
      </c>
      <c r="K17" s="14"/>
      <c r="L17" s="14"/>
      <c r="M17" s="15" t="str">
        <f aca="false">IF(OR(K17="",L17=""),"",L17/K17*100)</f>
        <v/>
      </c>
      <c r="N17" s="14"/>
    </row>
    <row r="18" customFormat="false" ht="15" hidden="false" customHeight="false" outlineLevel="0" collapsed="false">
      <c r="A18" s="13" t="s">
        <v>163</v>
      </c>
      <c r="B18" s="13" t="s">
        <v>162</v>
      </c>
      <c r="C18" s="13" t="s">
        <v>147</v>
      </c>
      <c r="D18" s="13" t="n">
        <v>150</v>
      </c>
      <c r="E18" s="13" t="n">
        <v>2</v>
      </c>
      <c r="F18" s="13" t="n">
        <v>22</v>
      </c>
      <c r="G18" s="14"/>
      <c r="H18" s="14"/>
      <c r="I18" s="14"/>
      <c r="J18" s="15" t="str">
        <f aca="false">IF(OR(H18="",I18=""),"",I18/H18*100)</f>
        <v/>
      </c>
      <c r="K18" s="14"/>
      <c r="L18" s="14"/>
      <c r="M18" s="15" t="str">
        <f aca="false">IF(OR(K18="",L18=""),"",L18/K18*100)</f>
        <v/>
      </c>
      <c r="N18" s="14"/>
    </row>
    <row r="19" customFormat="false" ht="15" hidden="false" customHeight="false" outlineLevel="0" collapsed="false">
      <c r="A19" s="13" t="s">
        <v>164</v>
      </c>
      <c r="B19" s="13" t="s">
        <v>162</v>
      </c>
      <c r="C19" s="13" t="s">
        <v>147</v>
      </c>
      <c r="D19" s="13" t="n">
        <v>150</v>
      </c>
      <c r="E19" s="13" t="n">
        <v>3</v>
      </c>
      <c r="F19" s="13" t="n">
        <v>28</v>
      </c>
      <c r="G19" s="14"/>
      <c r="H19" s="14"/>
      <c r="I19" s="14"/>
      <c r="J19" s="15" t="str">
        <f aca="false">IF(OR(H19="",I19=""),"",I19/H19*100)</f>
        <v/>
      </c>
      <c r="K19" s="14"/>
      <c r="L19" s="14"/>
      <c r="M19" s="15" t="str">
        <f aca="false">IF(OR(K19="",L19=""),"",L19/K19*100)</f>
        <v/>
      </c>
      <c r="N19" s="14"/>
    </row>
    <row r="20" customFormat="false" ht="15" hidden="false" customHeight="false" outlineLevel="0" collapsed="false">
      <c r="A20" s="13" t="s">
        <v>165</v>
      </c>
      <c r="B20" s="13" t="s">
        <v>162</v>
      </c>
      <c r="C20" s="13" t="s">
        <v>147</v>
      </c>
      <c r="D20" s="13" t="n">
        <v>150</v>
      </c>
      <c r="E20" s="13" t="n">
        <v>4</v>
      </c>
      <c r="F20" s="13" t="n">
        <v>58</v>
      </c>
      <c r="G20" s="14"/>
      <c r="H20" s="14"/>
      <c r="I20" s="14"/>
      <c r="J20" s="15" t="str">
        <f aca="false">IF(OR(H20="",I20=""),"",I20/H20*100)</f>
        <v/>
      </c>
      <c r="K20" s="14"/>
      <c r="L20" s="14"/>
      <c r="M20" s="15" t="str">
        <f aca="false">IF(OR(K20="",L20=""),"",L20/K20*100)</f>
        <v/>
      </c>
      <c r="N20" s="14"/>
    </row>
    <row r="21" customFormat="false" ht="15" hidden="false" customHeight="false" outlineLevel="0" collapsed="false">
      <c r="A21" s="13" t="s">
        <v>166</v>
      </c>
      <c r="B21" s="13" t="s">
        <v>167</v>
      </c>
      <c r="C21" s="13" t="s">
        <v>168</v>
      </c>
      <c r="D21" s="13" t="n">
        <v>0</v>
      </c>
      <c r="E21" s="13" t="n">
        <v>1</v>
      </c>
      <c r="F21" s="13" t="n">
        <v>55</v>
      </c>
      <c r="G21" s="14"/>
      <c r="H21" s="14"/>
      <c r="I21" s="14"/>
      <c r="J21" s="15" t="str">
        <f aca="false">IF(OR(H21="",I21=""),"",I21/H21*100)</f>
        <v/>
      </c>
      <c r="K21" s="14"/>
      <c r="L21" s="14"/>
      <c r="M21" s="15" t="str">
        <f aca="false">IF(OR(K21="",L21=""),"",L21/K21*100)</f>
        <v/>
      </c>
      <c r="N21" s="14"/>
    </row>
    <row r="22" customFormat="false" ht="15" hidden="false" customHeight="false" outlineLevel="0" collapsed="false">
      <c r="A22" s="13" t="s">
        <v>169</v>
      </c>
      <c r="B22" s="13" t="s">
        <v>167</v>
      </c>
      <c r="C22" s="13" t="s">
        <v>168</v>
      </c>
      <c r="D22" s="13" t="n">
        <v>0</v>
      </c>
      <c r="E22" s="13" t="n">
        <v>2</v>
      </c>
      <c r="F22" s="13" t="n">
        <v>10</v>
      </c>
      <c r="G22" s="14"/>
      <c r="H22" s="14"/>
      <c r="I22" s="14"/>
      <c r="J22" s="15" t="str">
        <f aca="false">IF(OR(H22="",I22=""),"",I22/H22*100)</f>
        <v/>
      </c>
      <c r="K22" s="14"/>
      <c r="L22" s="14"/>
      <c r="M22" s="15" t="str">
        <f aca="false">IF(OR(K22="",L22=""),"",L22/K22*100)</f>
        <v/>
      </c>
      <c r="N22" s="14"/>
    </row>
    <row r="23" customFormat="false" ht="15" hidden="false" customHeight="false" outlineLevel="0" collapsed="false">
      <c r="A23" s="13" t="s">
        <v>170</v>
      </c>
      <c r="B23" s="13" t="s">
        <v>167</v>
      </c>
      <c r="C23" s="13" t="s">
        <v>168</v>
      </c>
      <c r="D23" s="13" t="n">
        <v>0</v>
      </c>
      <c r="E23" s="13" t="n">
        <v>3</v>
      </c>
      <c r="F23" s="13" t="n">
        <v>20</v>
      </c>
      <c r="G23" s="14"/>
      <c r="H23" s="14"/>
      <c r="I23" s="14"/>
      <c r="J23" s="15" t="str">
        <f aca="false">IF(OR(H23="",I23=""),"",I23/H23*100)</f>
        <v/>
      </c>
      <c r="K23" s="14"/>
      <c r="L23" s="14"/>
      <c r="M23" s="15" t="str">
        <f aca="false">IF(OR(K23="",L23=""),"",L23/K23*100)</f>
        <v/>
      </c>
      <c r="N23" s="14"/>
    </row>
    <row r="24" customFormat="false" ht="15" hidden="false" customHeight="false" outlineLevel="0" collapsed="false">
      <c r="A24" s="13" t="s">
        <v>171</v>
      </c>
      <c r="B24" s="13" t="s">
        <v>167</v>
      </c>
      <c r="C24" s="13" t="s">
        <v>168</v>
      </c>
      <c r="D24" s="13" t="n">
        <v>0</v>
      </c>
      <c r="E24" s="13" t="n">
        <v>4</v>
      </c>
      <c r="F24" s="13" t="n">
        <v>18</v>
      </c>
      <c r="G24" s="14"/>
      <c r="H24" s="14"/>
      <c r="I24" s="14"/>
      <c r="J24" s="15" t="str">
        <f aca="false">IF(OR(H24="",I24=""),"",I24/H24*100)</f>
        <v/>
      </c>
      <c r="K24" s="14"/>
      <c r="L24" s="14"/>
      <c r="M24" s="15" t="str">
        <f aca="false">IF(OR(K24="",L24=""),"",L24/K24*100)</f>
        <v/>
      </c>
      <c r="N24" s="14"/>
    </row>
    <row r="25" customFormat="false" ht="15" hidden="false" customHeight="false" outlineLevel="0" collapsed="false">
      <c r="A25" s="13" t="s">
        <v>172</v>
      </c>
      <c r="B25" s="13" t="s">
        <v>173</v>
      </c>
      <c r="C25" s="13" t="s">
        <v>168</v>
      </c>
      <c r="D25" s="13" t="n">
        <v>50</v>
      </c>
      <c r="E25" s="13" t="n">
        <v>1</v>
      </c>
      <c r="F25" s="13" t="n">
        <v>23</v>
      </c>
      <c r="G25" s="14"/>
      <c r="H25" s="14"/>
      <c r="I25" s="14"/>
      <c r="J25" s="15" t="str">
        <f aca="false">IF(OR(H25="",I25=""),"",I25/H25*100)</f>
        <v/>
      </c>
      <c r="K25" s="14"/>
      <c r="L25" s="14"/>
      <c r="M25" s="15" t="str">
        <f aca="false">IF(OR(K25="",L25=""),"",L25/K25*100)</f>
        <v/>
      </c>
      <c r="N25" s="14"/>
    </row>
    <row r="26" customFormat="false" ht="15" hidden="false" customHeight="false" outlineLevel="0" collapsed="false">
      <c r="A26" s="13" t="s">
        <v>174</v>
      </c>
      <c r="B26" s="13" t="s">
        <v>173</v>
      </c>
      <c r="C26" s="13" t="s">
        <v>168</v>
      </c>
      <c r="D26" s="13" t="n">
        <v>50</v>
      </c>
      <c r="E26" s="13" t="n">
        <v>2</v>
      </c>
      <c r="F26" s="13" t="n">
        <v>11</v>
      </c>
      <c r="G26" s="14"/>
      <c r="H26" s="14"/>
      <c r="I26" s="14"/>
      <c r="J26" s="15" t="str">
        <f aca="false">IF(OR(H26="",I26=""),"",I26/H26*100)</f>
        <v/>
      </c>
      <c r="K26" s="14"/>
      <c r="L26" s="14"/>
      <c r="M26" s="15" t="str">
        <f aca="false">IF(OR(K26="",L26=""),"",L26/K26*100)</f>
        <v/>
      </c>
      <c r="N26" s="14"/>
    </row>
    <row r="27" customFormat="false" ht="15" hidden="false" customHeight="false" outlineLevel="0" collapsed="false">
      <c r="A27" s="13" t="s">
        <v>175</v>
      </c>
      <c r="B27" s="13" t="s">
        <v>173</v>
      </c>
      <c r="C27" s="13" t="s">
        <v>168</v>
      </c>
      <c r="D27" s="13" t="n">
        <v>50</v>
      </c>
      <c r="E27" s="13" t="n">
        <v>3</v>
      </c>
      <c r="F27" s="13" t="n">
        <v>3</v>
      </c>
      <c r="G27" s="14"/>
      <c r="H27" s="14"/>
      <c r="I27" s="14"/>
      <c r="J27" s="15" t="str">
        <f aca="false">IF(OR(H27="",I27=""),"",I27/H27*100)</f>
        <v/>
      </c>
      <c r="K27" s="14"/>
      <c r="L27" s="14"/>
      <c r="M27" s="15" t="str">
        <f aca="false">IF(OR(K27="",L27=""),"",L27/K27*100)</f>
        <v/>
      </c>
      <c r="N27" s="14"/>
    </row>
    <row r="28" customFormat="false" ht="15" hidden="false" customHeight="false" outlineLevel="0" collapsed="false">
      <c r="A28" s="13" t="s">
        <v>176</v>
      </c>
      <c r="B28" s="13" t="s">
        <v>173</v>
      </c>
      <c r="C28" s="13" t="s">
        <v>168</v>
      </c>
      <c r="D28" s="13" t="n">
        <v>50</v>
      </c>
      <c r="E28" s="13" t="n">
        <v>4</v>
      </c>
      <c r="F28" s="13" t="n">
        <v>34</v>
      </c>
      <c r="G28" s="14"/>
      <c r="H28" s="14"/>
      <c r="I28" s="14"/>
      <c r="J28" s="15" t="str">
        <f aca="false">IF(OR(H28="",I28=""),"",I28/H28*100)</f>
        <v/>
      </c>
      <c r="K28" s="14"/>
      <c r="L28" s="14"/>
      <c r="M28" s="15" t="str">
        <f aca="false">IF(OR(K28="",L28=""),"",L28/K28*100)</f>
        <v/>
      </c>
      <c r="N28" s="14"/>
    </row>
    <row r="29" customFormat="false" ht="15" hidden="false" customHeight="false" outlineLevel="0" collapsed="false">
      <c r="A29" s="13" t="s">
        <v>177</v>
      </c>
      <c r="B29" s="13" t="s">
        <v>178</v>
      </c>
      <c r="C29" s="13" t="s">
        <v>168</v>
      </c>
      <c r="D29" s="13" t="n">
        <v>100</v>
      </c>
      <c r="E29" s="13" t="n">
        <v>1</v>
      </c>
      <c r="F29" s="13" t="n">
        <v>17</v>
      </c>
      <c r="G29" s="14"/>
      <c r="H29" s="14"/>
      <c r="I29" s="14"/>
      <c r="J29" s="15" t="str">
        <f aca="false">IF(OR(H29="",I29=""),"",I29/H29*100)</f>
        <v/>
      </c>
      <c r="K29" s="14"/>
      <c r="L29" s="14"/>
      <c r="M29" s="15" t="str">
        <f aca="false">IF(OR(K29="",L29=""),"",L29/K29*100)</f>
        <v/>
      </c>
      <c r="N29" s="14"/>
    </row>
    <row r="30" customFormat="false" ht="15" hidden="false" customHeight="false" outlineLevel="0" collapsed="false">
      <c r="A30" s="13" t="s">
        <v>179</v>
      </c>
      <c r="B30" s="13" t="s">
        <v>178</v>
      </c>
      <c r="C30" s="13" t="s">
        <v>168</v>
      </c>
      <c r="D30" s="13" t="n">
        <v>100</v>
      </c>
      <c r="E30" s="13" t="n">
        <v>2</v>
      </c>
      <c r="F30" s="13" t="n">
        <v>24</v>
      </c>
      <c r="G30" s="14"/>
      <c r="H30" s="14"/>
      <c r="I30" s="14"/>
      <c r="J30" s="15" t="str">
        <f aca="false">IF(OR(H30="",I30=""),"",I30/H30*100)</f>
        <v/>
      </c>
      <c r="K30" s="14"/>
      <c r="L30" s="14"/>
      <c r="M30" s="15" t="str">
        <f aca="false">IF(OR(K30="",L30=""),"",L30/K30*100)</f>
        <v/>
      </c>
      <c r="N30" s="14"/>
    </row>
    <row r="31" customFormat="false" ht="15" hidden="false" customHeight="false" outlineLevel="0" collapsed="false">
      <c r="A31" s="13" t="s">
        <v>180</v>
      </c>
      <c r="B31" s="13" t="s">
        <v>178</v>
      </c>
      <c r="C31" s="13" t="s">
        <v>168</v>
      </c>
      <c r="D31" s="13" t="n">
        <v>100</v>
      </c>
      <c r="E31" s="13" t="n">
        <v>3</v>
      </c>
      <c r="F31" s="13" t="n">
        <v>13</v>
      </c>
      <c r="G31" s="14"/>
      <c r="H31" s="14"/>
      <c r="I31" s="14"/>
      <c r="J31" s="15" t="str">
        <f aca="false">IF(OR(H31="",I31=""),"",I31/H31*100)</f>
        <v/>
      </c>
      <c r="K31" s="14"/>
      <c r="L31" s="14"/>
      <c r="M31" s="15" t="str">
        <f aca="false">IF(OR(K31="",L31=""),"",L31/K31*100)</f>
        <v/>
      </c>
      <c r="N31" s="14"/>
    </row>
    <row r="32" customFormat="false" ht="15" hidden="false" customHeight="false" outlineLevel="0" collapsed="false">
      <c r="A32" s="13" t="s">
        <v>181</v>
      </c>
      <c r="B32" s="13" t="s">
        <v>178</v>
      </c>
      <c r="C32" s="13" t="s">
        <v>168</v>
      </c>
      <c r="D32" s="13" t="n">
        <v>100</v>
      </c>
      <c r="E32" s="13" t="n">
        <v>4</v>
      </c>
      <c r="F32" s="13" t="n">
        <v>35</v>
      </c>
      <c r="G32" s="14"/>
      <c r="H32" s="14"/>
      <c r="I32" s="14"/>
      <c r="J32" s="15" t="str">
        <f aca="false">IF(OR(H32="",I32=""),"",I32/H32*100)</f>
        <v/>
      </c>
      <c r="K32" s="14"/>
      <c r="L32" s="14"/>
      <c r="M32" s="15" t="str">
        <f aca="false">IF(OR(K32="",L32=""),"",L32/K32*100)</f>
        <v/>
      </c>
      <c r="N32" s="14"/>
    </row>
    <row r="33" customFormat="false" ht="15" hidden="false" customHeight="false" outlineLevel="0" collapsed="false">
      <c r="A33" s="13" t="s">
        <v>182</v>
      </c>
      <c r="B33" s="13" t="s">
        <v>183</v>
      </c>
      <c r="C33" s="13" t="s">
        <v>168</v>
      </c>
      <c r="D33" s="13" t="n">
        <v>150</v>
      </c>
      <c r="E33" s="13" t="n">
        <v>1</v>
      </c>
      <c r="F33" s="13" t="n">
        <v>30</v>
      </c>
      <c r="G33" s="14"/>
      <c r="H33" s="14"/>
      <c r="I33" s="14"/>
      <c r="J33" s="15" t="str">
        <f aca="false">IF(OR(H33="",I33=""),"",I33/H33*100)</f>
        <v/>
      </c>
      <c r="K33" s="14"/>
      <c r="L33" s="14"/>
      <c r="M33" s="15" t="str">
        <f aca="false">IF(OR(K33="",L33=""),"",L33/K33*100)</f>
        <v/>
      </c>
      <c r="N33" s="14"/>
    </row>
    <row r="34" customFormat="false" ht="15" hidden="false" customHeight="false" outlineLevel="0" collapsed="false">
      <c r="A34" s="13" t="s">
        <v>184</v>
      </c>
      <c r="B34" s="13" t="s">
        <v>183</v>
      </c>
      <c r="C34" s="13" t="s">
        <v>168</v>
      </c>
      <c r="D34" s="13" t="n">
        <v>150</v>
      </c>
      <c r="E34" s="13" t="n">
        <v>2</v>
      </c>
      <c r="F34" s="13" t="n">
        <v>12</v>
      </c>
      <c r="G34" s="14"/>
      <c r="H34" s="14"/>
      <c r="I34" s="14"/>
      <c r="J34" s="15" t="str">
        <f aca="false">IF(OR(H34="",I34=""),"",I34/H34*100)</f>
        <v/>
      </c>
      <c r="K34" s="14"/>
      <c r="L34" s="14"/>
      <c r="M34" s="15" t="str">
        <f aca="false">IF(OR(K34="",L34=""),"",L34/K34*100)</f>
        <v/>
      </c>
      <c r="N34" s="14"/>
    </row>
    <row r="35" customFormat="false" ht="15" hidden="false" customHeight="false" outlineLevel="0" collapsed="false">
      <c r="A35" s="13" t="s">
        <v>185</v>
      </c>
      <c r="B35" s="13" t="s">
        <v>183</v>
      </c>
      <c r="C35" s="13" t="s">
        <v>168</v>
      </c>
      <c r="D35" s="13" t="n">
        <v>150</v>
      </c>
      <c r="E35" s="13" t="n">
        <v>3</v>
      </c>
      <c r="F35" s="13" t="n">
        <v>9</v>
      </c>
      <c r="G35" s="14"/>
      <c r="H35" s="14"/>
      <c r="I35" s="14"/>
      <c r="J35" s="15" t="str">
        <f aca="false">IF(OR(H35="",I35=""),"",I35/H35*100)</f>
        <v/>
      </c>
      <c r="K35" s="14"/>
      <c r="L35" s="14"/>
      <c r="M35" s="15" t="str">
        <f aca="false">IF(OR(K35="",L35=""),"",L35/K35*100)</f>
        <v/>
      </c>
      <c r="N35" s="14"/>
    </row>
    <row r="36" customFormat="false" ht="15" hidden="false" customHeight="false" outlineLevel="0" collapsed="false">
      <c r="A36" s="13" t="s">
        <v>186</v>
      </c>
      <c r="B36" s="13" t="s">
        <v>183</v>
      </c>
      <c r="C36" s="13" t="s">
        <v>168</v>
      </c>
      <c r="D36" s="13" t="n">
        <v>150</v>
      </c>
      <c r="E36" s="13" t="n">
        <v>4</v>
      </c>
      <c r="F36" s="13" t="n">
        <v>26</v>
      </c>
      <c r="G36" s="14"/>
      <c r="H36" s="14"/>
      <c r="I36" s="14"/>
      <c r="J36" s="15" t="str">
        <f aca="false">IF(OR(H36="",I36=""),"",I36/H36*100)</f>
        <v/>
      </c>
      <c r="K36" s="14"/>
      <c r="L36" s="14"/>
      <c r="M36" s="15" t="str">
        <f aca="false">IF(OR(K36="",L36=""),"",L36/K36*100)</f>
        <v/>
      </c>
      <c r="N36" s="14"/>
    </row>
    <row r="37" customFormat="false" ht="15" hidden="false" customHeight="false" outlineLevel="0" collapsed="false">
      <c r="A37" s="13" t="s">
        <v>187</v>
      </c>
      <c r="B37" s="13" t="s">
        <v>188</v>
      </c>
      <c r="C37" s="13" t="s">
        <v>189</v>
      </c>
      <c r="D37" s="13" t="n">
        <v>0</v>
      </c>
      <c r="E37" s="13" t="n">
        <v>1</v>
      </c>
      <c r="F37" s="13" t="n">
        <v>14</v>
      </c>
      <c r="G37" s="14"/>
      <c r="H37" s="14"/>
      <c r="I37" s="14"/>
      <c r="J37" s="15" t="str">
        <f aca="false">IF(OR(H37="",I37=""),"",I37/H37*100)</f>
        <v/>
      </c>
      <c r="K37" s="14"/>
      <c r="L37" s="14"/>
      <c r="M37" s="15" t="str">
        <f aca="false">IF(OR(K37="",L37=""),"",L37/K37*100)</f>
        <v/>
      </c>
      <c r="N37" s="14"/>
    </row>
    <row r="38" customFormat="false" ht="15" hidden="false" customHeight="false" outlineLevel="0" collapsed="false">
      <c r="A38" s="13" t="s">
        <v>190</v>
      </c>
      <c r="B38" s="13" t="s">
        <v>188</v>
      </c>
      <c r="C38" s="13" t="s">
        <v>189</v>
      </c>
      <c r="D38" s="13" t="n">
        <v>0</v>
      </c>
      <c r="E38" s="13" t="n">
        <v>2</v>
      </c>
      <c r="F38" s="13" t="n">
        <v>63</v>
      </c>
      <c r="G38" s="14"/>
      <c r="H38" s="14"/>
      <c r="I38" s="14"/>
      <c r="J38" s="15" t="str">
        <f aca="false">IF(OR(H38="",I38=""),"",I38/H38*100)</f>
        <v/>
      </c>
      <c r="K38" s="14"/>
      <c r="L38" s="14"/>
      <c r="M38" s="15" t="str">
        <f aca="false">IF(OR(K38="",L38=""),"",L38/K38*100)</f>
        <v/>
      </c>
      <c r="N38" s="14"/>
    </row>
    <row r="39" customFormat="false" ht="15" hidden="false" customHeight="false" outlineLevel="0" collapsed="false">
      <c r="A39" s="13" t="s">
        <v>191</v>
      </c>
      <c r="B39" s="13" t="s">
        <v>188</v>
      </c>
      <c r="C39" s="13" t="s">
        <v>189</v>
      </c>
      <c r="D39" s="13" t="n">
        <v>0</v>
      </c>
      <c r="E39" s="13" t="n">
        <v>3</v>
      </c>
      <c r="F39" s="13" t="n">
        <v>48</v>
      </c>
      <c r="G39" s="14"/>
      <c r="H39" s="14"/>
      <c r="I39" s="14"/>
      <c r="J39" s="15" t="str">
        <f aca="false">IF(OR(H39="",I39=""),"",I39/H39*100)</f>
        <v/>
      </c>
      <c r="K39" s="14"/>
      <c r="L39" s="14"/>
      <c r="M39" s="15" t="str">
        <f aca="false">IF(OR(K39="",L39=""),"",L39/K39*100)</f>
        <v/>
      </c>
      <c r="N39" s="14"/>
    </row>
    <row r="40" customFormat="false" ht="15" hidden="false" customHeight="false" outlineLevel="0" collapsed="false">
      <c r="A40" s="13" t="s">
        <v>192</v>
      </c>
      <c r="B40" s="13" t="s">
        <v>188</v>
      </c>
      <c r="C40" s="13" t="s">
        <v>189</v>
      </c>
      <c r="D40" s="13" t="n">
        <v>0</v>
      </c>
      <c r="E40" s="13" t="n">
        <v>4</v>
      </c>
      <c r="F40" s="13" t="n">
        <v>43</v>
      </c>
      <c r="G40" s="14"/>
      <c r="H40" s="14"/>
      <c r="I40" s="14"/>
      <c r="J40" s="15" t="str">
        <f aca="false">IF(OR(H40="",I40=""),"",I40/H40*100)</f>
        <v/>
      </c>
      <c r="K40" s="14"/>
      <c r="L40" s="14"/>
      <c r="M40" s="15" t="str">
        <f aca="false">IF(OR(K40="",L40=""),"",L40/K40*100)</f>
        <v/>
      </c>
      <c r="N40" s="14"/>
    </row>
    <row r="41" customFormat="false" ht="15" hidden="false" customHeight="false" outlineLevel="0" collapsed="false">
      <c r="A41" s="13" t="s">
        <v>193</v>
      </c>
      <c r="B41" s="13" t="s">
        <v>194</v>
      </c>
      <c r="C41" s="13" t="s">
        <v>189</v>
      </c>
      <c r="D41" s="13" t="n">
        <v>50</v>
      </c>
      <c r="E41" s="13" t="n">
        <v>1</v>
      </c>
      <c r="F41" s="13" t="n">
        <v>45</v>
      </c>
      <c r="G41" s="14"/>
      <c r="H41" s="14"/>
      <c r="I41" s="14"/>
      <c r="J41" s="15" t="str">
        <f aca="false">IF(OR(H41="",I41=""),"",I41/H41*100)</f>
        <v/>
      </c>
      <c r="K41" s="14"/>
      <c r="L41" s="14"/>
      <c r="M41" s="15" t="str">
        <f aca="false">IF(OR(K41="",L41=""),"",L41/K41*100)</f>
        <v/>
      </c>
      <c r="N41" s="14"/>
    </row>
    <row r="42" customFormat="false" ht="15" hidden="false" customHeight="false" outlineLevel="0" collapsed="false">
      <c r="A42" s="13" t="s">
        <v>195</v>
      </c>
      <c r="B42" s="13" t="s">
        <v>194</v>
      </c>
      <c r="C42" s="13" t="s">
        <v>189</v>
      </c>
      <c r="D42" s="13" t="n">
        <v>50</v>
      </c>
      <c r="E42" s="13" t="n">
        <v>2</v>
      </c>
      <c r="F42" s="13" t="n">
        <v>57</v>
      </c>
      <c r="G42" s="14"/>
      <c r="H42" s="14"/>
      <c r="I42" s="14"/>
      <c r="J42" s="15" t="str">
        <f aca="false">IF(OR(H42="",I42=""),"",I42/H42*100)</f>
        <v/>
      </c>
      <c r="K42" s="14"/>
      <c r="L42" s="14"/>
      <c r="M42" s="15" t="str">
        <f aca="false">IF(OR(K42="",L42=""),"",L42/K42*100)</f>
        <v/>
      </c>
      <c r="N42" s="14"/>
    </row>
    <row r="43" customFormat="false" ht="15" hidden="false" customHeight="false" outlineLevel="0" collapsed="false">
      <c r="A43" s="13" t="s">
        <v>196</v>
      </c>
      <c r="B43" s="13" t="s">
        <v>194</v>
      </c>
      <c r="C43" s="13" t="s">
        <v>189</v>
      </c>
      <c r="D43" s="13" t="n">
        <v>50</v>
      </c>
      <c r="E43" s="13" t="n">
        <v>3</v>
      </c>
      <c r="F43" s="13" t="n">
        <v>19</v>
      </c>
      <c r="G43" s="14"/>
      <c r="H43" s="14"/>
      <c r="I43" s="14"/>
      <c r="J43" s="15" t="str">
        <f aca="false">IF(OR(H43="",I43=""),"",I43/H43*100)</f>
        <v/>
      </c>
      <c r="K43" s="14"/>
      <c r="L43" s="14"/>
      <c r="M43" s="15" t="str">
        <f aca="false">IF(OR(K43="",L43=""),"",L43/K43*100)</f>
        <v/>
      </c>
      <c r="N43" s="14"/>
    </row>
    <row r="44" customFormat="false" ht="15" hidden="false" customHeight="false" outlineLevel="0" collapsed="false">
      <c r="A44" s="13" t="s">
        <v>197</v>
      </c>
      <c r="B44" s="13" t="s">
        <v>194</v>
      </c>
      <c r="C44" s="13" t="s">
        <v>189</v>
      </c>
      <c r="D44" s="13" t="n">
        <v>50</v>
      </c>
      <c r="E44" s="13" t="n">
        <v>4</v>
      </c>
      <c r="F44" s="13" t="n">
        <v>8</v>
      </c>
      <c r="G44" s="14"/>
      <c r="H44" s="14"/>
      <c r="I44" s="14"/>
      <c r="J44" s="15" t="str">
        <f aca="false">IF(OR(H44="",I44=""),"",I44/H44*100)</f>
        <v/>
      </c>
      <c r="K44" s="14"/>
      <c r="L44" s="14"/>
      <c r="M44" s="15" t="str">
        <f aca="false">IF(OR(K44="",L44=""),"",L44/K44*100)</f>
        <v/>
      </c>
      <c r="N44" s="14"/>
    </row>
    <row r="45" customFormat="false" ht="15" hidden="false" customHeight="false" outlineLevel="0" collapsed="false">
      <c r="A45" s="13" t="s">
        <v>198</v>
      </c>
      <c r="B45" s="13" t="s">
        <v>199</v>
      </c>
      <c r="C45" s="13" t="s">
        <v>189</v>
      </c>
      <c r="D45" s="13" t="n">
        <v>100</v>
      </c>
      <c r="E45" s="13" t="n">
        <v>1</v>
      </c>
      <c r="F45" s="13" t="n">
        <v>6</v>
      </c>
      <c r="G45" s="14"/>
      <c r="H45" s="14"/>
      <c r="I45" s="14"/>
      <c r="J45" s="15" t="str">
        <f aca="false">IF(OR(H45="",I45=""),"",I45/H45*100)</f>
        <v/>
      </c>
      <c r="K45" s="14"/>
      <c r="L45" s="14"/>
      <c r="M45" s="15" t="str">
        <f aca="false">IF(OR(K45="",L45=""),"",L45/K45*100)</f>
        <v/>
      </c>
      <c r="N45" s="14"/>
    </row>
    <row r="46" customFormat="false" ht="15" hidden="false" customHeight="false" outlineLevel="0" collapsed="false">
      <c r="A46" s="13" t="s">
        <v>200</v>
      </c>
      <c r="B46" s="13" t="s">
        <v>199</v>
      </c>
      <c r="C46" s="13" t="s">
        <v>189</v>
      </c>
      <c r="D46" s="13" t="n">
        <v>100</v>
      </c>
      <c r="E46" s="13" t="n">
        <v>2</v>
      </c>
      <c r="F46" s="13" t="n">
        <v>54</v>
      </c>
      <c r="G46" s="14"/>
      <c r="H46" s="14"/>
      <c r="I46" s="14"/>
      <c r="J46" s="15" t="str">
        <f aca="false">IF(OR(H46="",I46=""),"",I46/H46*100)</f>
        <v/>
      </c>
      <c r="K46" s="14"/>
      <c r="L46" s="14"/>
      <c r="M46" s="15" t="str">
        <f aca="false">IF(OR(K46="",L46=""),"",L46/K46*100)</f>
        <v/>
      </c>
      <c r="N46" s="14"/>
    </row>
    <row r="47" customFormat="false" ht="15" hidden="false" customHeight="false" outlineLevel="0" collapsed="false">
      <c r="A47" s="13" t="s">
        <v>201</v>
      </c>
      <c r="B47" s="13" t="s">
        <v>199</v>
      </c>
      <c r="C47" s="13" t="s">
        <v>189</v>
      </c>
      <c r="D47" s="13" t="n">
        <v>100</v>
      </c>
      <c r="E47" s="13" t="n">
        <v>3</v>
      </c>
      <c r="F47" s="13" t="n">
        <v>1</v>
      </c>
      <c r="G47" s="14"/>
      <c r="H47" s="14"/>
      <c r="I47" s="14"/>
      <c r="J47" s="15" t="str">
        <f aca="false">IF(OR(H47="",I47=""),"",I47/H47*100)</f>
        <v/>
      </c>
      <c r="K47" s="14"/>
      <c r="L47" s="14"/>
      <c r="M47" s="15" t="str">
        <f aca="false">IF(OR(K47="",L47=""),"",L47/K47*100)</f>
        <v/>
      </c>
      <c r="N47" s="14"/>
    </row>
    <row r="48" customFormat="false" ht="15" hidden="false" customHeight="false" outlineLevel="0" collapsed="false">
      <c r="A48" s="13" t="s">
        <v>202</v>
      </c>
      <c r="B48" s="13" t="s">
        <v>199</v>
      </c>
      <c r="C48" s="13" t="s">
        <v>189</v>
      </c>
      <c r="D48" s="13" t="n">
        <v>100</v>
      </c>
      <c r="E48" s="13" t="n">
        <v>4</v>
      </c>
      <c r="F48" s="13" t="n">
        <v>64</v>
      </c>
      <c r="G48" s="14"/>
      <c r="H48" s="14"/>
      <c r="I48" s="14"/>
      <c r="J48" s="15" t="str">
        <f aca="false">IF(OR(H48="",I48=""),"",I48/H48*100)</f>
        <v/>
      </c>
      <c r="K48" s="14"/>
      <c r="L48" s="14"/>
      <c r="M48" s="15" t="str">
        <f aca="false">IF(OR(K48="",L48=""),"",L48/K48*100)</f>
        <v/>
      </c>
      <c r="N48" s="14"/>
    </row>
    <row r="49" customFormat="false" ht="15" hidden="false" customHeight="false" outlineLevel="0" collapsed="false">
      <c r="A49" s="13" t="s">
        <v>203</v>
      </c>
      <c r="B49" s="13" t="s">
        <v>204</v>
      </c>
      <c r="C49" s="13" t="s">
        <v>189</v>
      </c>
      <c r="D49" s="13" t="n">
        <v>150</v>
      </c>
      <c r="E49" s="13" t="n">
        <v>1</v>
      </c>
      <c r="F49" s="13" t="n">
        <v>29</v>
      </c>
      <c r="G49" s="14"/>
      <c r="H49" s="14"/>
      <c r="I49" s="14"/>
      <c r="J49" s="15" t="str">
        <f aca="false">IF(OR(H49="",I49=""),"",I49/H49*100)</f>
        <v/>
      </c>
      <c r="K49" s="14"/>
      <c r="L49" s="14"/>
      <c r="M49" s="15" t="str">
        <f aca="false">IF(OR(K49="",L49=""),"",L49/K49*100)</f>
        <v/>
      </c>
      <c r="N49" s="14"/>
    </row>
    <row r="50" customFormat="false" ht="15" hidden="false" customHeight="false" outlineLevel="0" collapsed="false">
      <c r="A50" s="13" t="s">
        <v>205</v>
      </c>
      <c r="B50" s="13" t="s">
        <v>204</v>
      </c>
      <c r="C50" s="13" t="s">
        <v>189</v>
      </c>
      <c r="D50" s="13" t="n">
        <v>150</v>
      </c>
      <c r="E50" s="13" t="n">
        <v>2</v>
      </c>
      <c r="F50" s="13" t="n">
        <v>38</v>
      </c>
      <c r="G50" s="14"/>
      <c r="H50" s="14"/>
      <c r="I50" s="14"/>
      <c r="J50" s="15" t="str">
        <f aca="false">IF(OR(H50="",I50=""),"",I50/H50*100)</f>
        <v/>
      </c>
      <c r="K50" s="14"/>
      <c r="L50" s="14"/>
      <c r="M50" s="15" t="str">
        <f aca="false">IF(OR(K50="",L50=""),"",L50/K50*100)</f>
        <v/>
      </c>
      <c r="N50" s="14"/>
    </row>
    <row r="51" customFormat="false" ht="15" hidden="false" customHeight="false" outlineLevel="0" collapsed="false">
      <c r="A51" s="13" t="s">
        <v>206</v>
      </c>
      <c r="B51" s="13" t="s">
        <v>204</v>
      </c>
      <c r="C51" s="13" t="s">
        <v>189</v>
      </c>
      <c r="D51" s="13" t="n">
        <v>150</v>
      </c>
      <c r="E51" s="13" t="n">
        <v>3</v>
      </c>
      <c r="F51" s="13" t="n">
        <v>32</v>
      </c>
      <c r="G51" s="14"/>
      <c r="H51" s="14"/>
      <c r="I51" s="14"/>
      <c r="J51" s="15" t="str">
        <f aca="false">IF(OR(H51="",I51=""),"",I51/H51*100)</f>
        <v/>
      </c>
      <c r="K51" s="14"/>
      <c r="L51" s="14"/>
      <c r="M51" s="15" t="str">
        <f aca="false">IF(OR(K51="",L51=""),"",L51/K51*100)</f>
        <v/>
      </c>
      <c r="N51" s="14"/>
    </row>
    <row r="52" customFormat="false" ht="15" hidden="false" customHeight="false" outlineLevel="0" collapsed="false">
      <c r="A52" s="13" t="s">
        <v>207</v>
      </c>
      <c r="B52" s="13" t="s">
        <v>204</v>
      </c>
      <c r="C52" s="13" t="s">
        <v>189</v>
      </c>
      <c r="D52" s="13" t="n">
        <v>150</v>
      </c>
      <c r="E52" s="13" t="n">
        <v>4</v>
      </c>
      <c r="F52" s="13" t="n">
        <v>47</v>
      </c>
      <c r="G52" s="14"/>
      <c r="H52" s="14"/>
      <c r="I52" s="14"/>
      <c r="J52" s="15" t="str">
        <f aca="false">IF(OR(H52="",I52=""),"",I52/H52*100)</f>
        <v/>
      </c>
      <c r="K52" s="14"/>
      <c r="L52" s="14"/>
      <c r="M52" s="15" t="str">
        <f aca="false">IF(OR(K52="",L52=""),"",L52/K52*100)</f>
        <v/>
      </c>
      <c r="N52" s="14"/>
    </row>
    <row r="53" customFormat="false" ht="15" hidden="false" customHeight="false" outlineLevel="0" collapsed="false">
      <c r="A53" s="13" t="s">
        <v>208</v>
      </c>
      <c r="B53" s="13" t="s">
        <v>209</v>
      </c>
      <c r="C53" s="13" t="s">
        <v>210</v>
      </c>
      <c r="D53" s="13" t="n">
        <v>0</v>
      </c>
      <c r="E53" s="13" t="n">
        <v>1</v>
      </c>
      <c r="F53" s="13" t="n">
        <v>53</v>
      </c>
      <c r="G53" s="14"/>
      <c r="H53" s="14"/>
      <c r="I53" s="14"/>
      <c r="J53" s="15" t="str">
        <f aca="false">IF(OR(H53="",I53=""),"",I53/H53*100)</f>
        <v/>
      </c>
      <c r="K53" s="14"/>
      <c r="L53" s="14"/>
      <c r="M53" s="15" t="str">
        <f aca="false">IF(OR(K53="",L53=""),"",L53/K53*100)</f>
        <v/>
      </c>
      <c r="N53" s="14"/>
    </row>
    <row r="54" customFormat="false" ht="15" hidden="false" customHeight="false" outlineLevel="0" collapsed="false">
      <c r="A54" s="13" t="s">
        <v>211</v>
      </c>
      <c r="B54" s="13" t="s">
        <v>209</v>
      </c>
      <c r="C54" s="13" t="s">
        <v>210</v>
      </c>
      <c r="D54" s="13" t="n">
        <v>0</v>
      </c>
      <c r="E54" s="13" t="n">
        <v>2</v>
      </c>
      <c r="F54" s="13" t="n">
        <v>37</v>
      </c>
      <c r="G54" s="14"/>
      <c r="H54" s="14"/>
      <c r="I54" s="14"/>
      <c r="J54" s="15" t="str">
        <f aca="false">IF(OR(H54="",I54=""),"",I54/H54*100)</f>
        <v/>
      </c>
      <c r="K54" s="14"/>
      <c r="L54" s="14"/>
      <c r="M54" s="15" t="str">
        <f aca="false">IF(OR(K54="",L54=""),"",L54/K54*100)</f>
        <v/>
      </c>
      <c r="N54" s="14"/>
    </row>
    <row r="55" customFormat="false" ht="15" hidden="false" customHeight="false" outlineLevel="0" collapsed="false">
      <c r="A55" s="13" t="s">
        <v>212</v>
      </c>
      <c r="B55" s="13" t="s">
        <v>209</v>
      </c>
      <c r="C55" s="13" t="s">
        <v>210</v>
      </c>
      <c r="D55" s="13" t="n">
        <v>0</v>
      </c>
      <c r="E55" s="13" t="n">
        <v>3</v>
      </c>
      <c r="F55" s="13" t="n">
        <v>51</v>
      </c>
      <c r="G55" s="14"/>
      <c r="H55" s="14"/>
      <c r="I55" s="14"/>
      <c r="J55" s="15" t="str">
        <f aca="false">IF(OR(H55="",I55=""),"",I55/H55*100)</f>
        <v/>
      </c>
      <c r="K55" s="14"/>
      <c r="L55" s="14"/>
      <c r="M55" s="15" t="str">
        <f aca="false">IF(OR(K55="",L55=""),"",L55/K55*100)</f>
        <v/>
      </c>
      <c r="N55" s="14"/>
    </row>
    <row r="56" customFormat="false" ht="15" hidden="false" customHeight="false" outlineLevel="0" collapsed="false">
      <c r="A56" s="13" t="s">
        <v>213</v>
      </c>
      <c r="B56" s="13" t="s">
        <v>209</v>
      </c>
      <c r="C56" s="13" t="s">
        <v>210</v>
      </c>
      <c r="D56" s="13" t="n">
        <v>0</v>
      </c>
      <c r="E56" s="13" t="n">
        <v>4</v>
      </c>
      <c r="F56" s="13" t="n">
        <v>27</v>
      </c>
      <c r="G56" s="14"/>
      <c r="H56" s="14"/>
      <c r="I56" s="14"/>
      <c r="J56" s="15" t="str">
        <f aca="false">IF(OR(H56="",I56=""),"",I56/H56*100)</f>
        <v/>
      </c>
      <c r="K56" s="14"/>
      <c r="L56" s="14"/>
      <c r="M56" s="15" t="str">
        <f aca="false">IF(OR(K56="",L56=""),"",L56/K56*100)</f>
        <v/>
      </c>
      <c r="N56" s="14"/>
    </row>
    <row r="57" customFormat="false" ht="15" hidden="false" customHeight="false" outlineLevel="0" collapsed="false">
      <c r="A57" s="13" t="s">
        <v>214</v>
      </c>
      <c r="B57" s="13" t="s">
        <v>215</v>
      </c>
      <c r="C57" s="13" t="s">
        <v>210</v>
      </c>
      <c r="D57" s="13" t="n">
        <v>50</v>
      </c>
      <c r="E57" s="13" t="n">
        <v>1</v>
      </c>
      <c r="F57" s="13" t="n">
        <v>36</v>
      </c>
      <c r="G57" s="14"/>
      <c r="H57" s="14"/>
      <c r="I57" s="14"/>
      <c r="J57" s="15" t="str">
        <f aca="false">IF(OR(H57="",I57=""),"",I57/H57*100)</f>
        <v/>
      </c>
      <c r="K57" s="14"/>
      <c r="L57" s="14"/>
      <c r="M57" s="15" t="str">
        <f aca="false">IF(OR(K57="",L57=""),"",L57/K57*100)</f>
        <v/>
      </c>
      <c r="N57" s="14"/>
    </row>
    <row r="58" customFormat="false" ht="15" hidden="false" customHeight="false" outlineLevel="0" collapsed="false">
      <c r="A58" s="13" t="s">
        <v>216</v>
      </c>
      <c r="B58" s="13" t="s">
        <v>215</v>
      </c>
      <c r="C58" s="13" t="s">
        <v>210</v>
      </c>
      <c r="D58" s="13" t="n">
        <v>50</v>
      </c>
      <c r="E58" s="13" t="n">
        <v>2</v>
      </c>
      <c r="F58" s="13" t="n">
        <v>40</v>
      </c>
      <c r="G58" s="14"/>
      <c r="H58" s="14"/>
      <c r="I58" s="14"/>
      <c r="J58" s="15" t="str">
        <f aca="false">IF(OR(H58="",I58=""),"",I58/H58*100)</f>
        <v/>
      </c>
      <c r="K58" s="14"/>
      <c r="L58" s="14"/>
      <c r="M58" s="15" t="str">
        <f aca="false">IF(OR(K58="",L58=""),"",L58/K58*100)</f>
        <v/>
      </c>
      <c r="N58" s="14"/>
    </row>
    <row r="59" customFormat="false" ht="15" hidden="false" customHeight="false" outlineLevel="0" collapsed="false">
      <c r="A59" s="13" t="s">
        <v>217</v>
      </c>
      <c r="B59" s="13" t="s">
        <v>215</v>
      </c>
      <c r="C59" s="13" t="s">
        <v>210</v>
      </c>
      <c r="D59" s="13" t="n">
        <v>50</v>
      </c>
      <c r="E59" s="13" t="n">
        <v>3</v>
      </c>
      <c r="F59" s="13" t="n">
        <v>39</v>
      </c>
      <c r="G59" s="14"/>
      <c r="H59" s="14"/>
      <c r="I59" s="14"/>
      <c r="J59" s="15" t="str">
        <f aca="false">IF(OR(H59="",I59=""),"",I59/H59*100)</f>
        <v/>
      </c>
      <c r="K59" s="14"/>
      <c r="L59" s="14"/>
      <c r="M59" s="15" t="str">
        <f aca="false">IF(OR(K59="",L59=""),"",L59/K59*100)</f>
        <v/>
      </c>
      <c r="N59" s="14"/>
    </row>
    <row r="60" customFormat="false" ht="15" hidden="false" customHeight="false" outlineLevel="0" collapsed="false">
      <c r="A60" s="13" t="s">
        <v>218</v>
      </c>
      <c r="B60" s="13" t="s">
        <v>215</v>
      </c>
      <c r="C60" s="13" t="s">
        <v>210</v>
      </c>
      <c r="D60" s="13" t="n">
        <v>50</v>
      </c>
      <c r="E60" s="13" t="n">
        <v>4</v>
      </c>
      <c r="F60" s="13" t="n">
        <v>15</v>
      </c>
      <c r="G60" s="14"/>
      <c r="H60" s="14"/>
      <c r="I60" s="14"/>
      <c r="J60" s="15" t="str">
        <f aca="false">IF(OR(H60="",I60=""),"",I60/H60*100)</f>
        <v/>
      </c>
      <c r="K60" s="14"/>
      <c r="L60" s="14"/>
      <c r="M60" s="15" t="str">
        <f aca="false">IF(OR(K60="",L60=""),"",L60/K60*100)</f>
        <v/>
      </c>
      <c r="N60" s="14"/>
    </row>
    <row r="61" customFormat="false" ht="15" hidden="false" customHeight="false" outlineLevel="0" collapsed="false">
      <c r="A61" s="13" t="s">
        <v>219</v>
      </c>
      <c r="B61" s="13" t="s">
        <v>220</v>
      </c>
      <c r="C61" s="13" t="s">
        <v>210</v>
      </c>
      <c r="D61" s="13" t="n">
        <v>100</v>
      </c>
      <c r="E61" s="13" t="n">
        <v>1</v>
      </c>
      <c r="F61" s="13" t="n">
        <v>7</v>
      </c>
      <c r="G61" s="14"/>
      <c r="H61" s="14"/>
      <c r="I61" s="14"/>
      <c r="J61" s="15" t="str">
        <f aca="false">IF(OR(H61="",I61=""),"",I61/H61*100)</f>
        <v/>
      </c>
      <c r="K61" s="14"/>
      <c r="L61" s="14"/>
      <c r="M61" s="15" t="str">
        <f aca="false">IF(OR(K61="",L61=""),"",L61/K61*100)</f>
        <v/>
      </c>
      <c r="N61" s="14"/>
    </row>
    <row r="62" customFormat="false" ht="15" hidden="false" customHeight="false" outlineLevel="0" collapsed="false">
      <c r="A62" s="13" t="s">
        <v>221</v>
      </c>
      <c r="B62" s="13" t="s">
        <v>220</v>
      </c>
      <c r="C62" s="13" t="s">
        <v>210</v>
      </c>
      <c r="D62" s="13" t="n">
        <v>100</v>
      </c>
      <c r="E62" s="13" t="n">
        <v>2</v>
      </c>
      <c r="F62" s="13" t="n">
        <v>56</v>
      </c>
      <c r="G62" s="14"/>
      <c r="H62" s="14"/>
      <c r="I62" s="14"/>
      <c r="J62" s="15" t="str">
        <f aca="false">IF(OR(H62="",I62=""),"",I62/H62*100)</f>
        <v/>
      </c>
      <c r="K62" s="14"/>
      <c r="L62" s="14"/>
      <c r="M62" s="15" t="str">
        <f aca="false">IF(OR(K62="",L62=""),"",L62/K62*100)</f>
        <v/>
      </c>
      <c r="N62" s="14"/>
    </row>
    <row r="63" customFormat="false" ht="15" hidden="false" customHeight="false" outlineLevel="0" collapsed="false">
      <c r="A63" s="13" t="s">
        <v>222</v>
      </c>
      <c r="B63" s="13" t="s">
        <v>220</v>
      </c>
      <c r="C63" s="13" t="s">
        <v>210</v>
      </c>
      <c r="D63" s="13" t="n">
        <v>100</v>
      </c>
      <c r="E63" s="13" t="n">
        <v>3</v>
      </c>
      <c r="F63" s="13" t="n">
        <v>42</v>
      </c>
      <c r="G63" s="14"/>
      <c r="H63" s="14"/>
      <c r="I63" s="14"/>
      <c r="J63" s="15" t="str">
        <f aca="false">IF(OR(H63="",I63=""),"",I63/H63*100)</f>
        <v/>
      </c>
      <c r="K63" s="14"/>
      <c r="L63" s="14"/>
      <c r="M63" s="15" t="str">
        <f aca="false">IF(OR(K63="",L63=""),"",L63/K63*100)</f>
        <v/>
      </c>
      <c r="N63" s="14"/>
    </row>
    <row r="64" customFormat="false" ht="15" hidden="false" customHeight="false" outlineLevel="0" collapsed="false">
      <c r="A64" s="13" t="s">
        <v>223</v>
      </c>
      <c r="B64" s="13" t="s">
        <v>220</v>
      </c>
      <c r="C64" s="13" t="s">
        <v>210</v>
      </c>
      <c r="D64" s="13" t="n">
        <v>100</v>
      </c>
      <c r="E64" s="13" t="n">
        <v>4</v>
      </c>
      <c r="F64" s="13" t="n">
        <v>62</v>
      </c>
      <c r="G64" s="14"/>
      <c r="H64" s="14"/>
      <c r="I64" s="14"/>
      <c r="J64" s="15" t="str">
        <f aca="false">IF(OR(H64="",I64=""),"",I64/H64*100)</f>
        <v/>
      </c>
      <c r="K64" s="14"/>
      <c r="L64" s="14"/>
      <c r="M64" s="15" t="str">
        <f aca="false">IF(OR(K64="",L64=""),"",L64/K64*100)</f>
        <v/>
      </c>
      <c r="N64" s="14"/>
    </row>
    <row r="65" customFormat="false" ht="15" hidden="false" customHeight="false" outlineLevel="0" collapsed="false">
      <c r="A65" s="13" t="s">
        <v>224</v>
      </c>
      <c r="B65" s="13" t="s">
        <v>225</v>
      </c>
      <c r="C65" s="13" t="s">
        <v>210</v>
      </c>
      <c r="D65" s="13" t="n">
        <v>150</v>
      </c>
      <c r="E65" s="13" t="n">
        <v>1</v>
      </c>
      <c r="F65" s="13" t="n">
        <v>61</v>
      </c>
      <c r="G65" s="14"/>
      <c r="H65" s="14"/>
      <c r="I65" s="14"/>
      <c r="J65" s="15" t="str">
        <f aca="false">IF(OR(H65="",I65=""),"",I65/H65*100)</f>
        <v/>
      </c>
      <c r="K65" s="14"/>
      <c r="L65" s="14"/>
      <c r="M65" s="15" t="str">
        <f aca="false">IF(OR(K65="",L65=""),"",L65/K65*100)</f>
        <v/>
      </c>
      <c r="N65" s="14"/>
    </row>
    <row r="66" customFormat="false" ht="15" hidden="false" customHeight="false" outlineLevel="0" collapsed="false">
      <c r="A66" s="13" t="s">
        <v>226</v>
      </c>
      <c r="B66" s="13" t="s">
        <v>225</v>
      </c>
      <c r="C66" s="13" t="s">
        <v>210</v>
      </c>
      <c r="D66" s="13" t="n">
        <v>150</v>
      </c>
      <c r="E66" s="13" t="n">
        <v>2</v>
      </c>
      <c r="F66" s="13" t="n">
        <v>33</v>
      </c>
      <c r="G66" s="14"/>
      <c r="H66" s="14"/>
      <c r="I66" s="14"/>
      <c r="J66" s="15" t="str">
        <f aca="false">IF(OR(H66="",I66=""),"",I66/H66*100)</f>
        <v/>
      </c>
      <c r="K66" s="14"/>
      <c r="L66" s="14"/>
      <c r="M66" s="15" t="str">
        <f aca="false">IF(OR(K66="",L66=""),"",L66/K66*100)</f>
        <v/>
      </c>
      <c r="N66" s="14"/>
    </row>
    <row r="67" customFormat="false" ht="15" hidden="false" customHeight="false" outlineLevel="0" collapsed="false">
      <c r="A67" s="13" t="s">
        <v>227</v>
      </c>
      <c r="B67" s="13" t="s">
        <v>225</v>
      </c>
      <c r="C67" s="13" t="s">
        <v>210</v>
      </c>
      <c r="D67" s="13" t="n">
        <v>150</v>
      </c>
      <c r="E67" s="13" t="n">
        <v>3</v>
      </c>
      <c r="F67" s="13" t="n">
        <v>21</v>
      </c>
      <c r="G67" s="14"/>
      <c r="H67" s="14"/>
      <c r="I67" s="14"/>
      <c r="J67" s="15" t="str">
        <f aca="false">IF(OR(H67="",I67=""),"",I67/H67*100)</f>
        <v/>
      </c>
      <c r="K67" s="14"/>
      <c r="L67" s="14"/>
      <c r="M67" s="15" t="str">
        <f aca="false">IF(OR(K67="",L67=""),"",L67/K67*100)</f>
        <v/>
      </c>
      <c r="N67" s="14"/>
    </row>
    <row r="68" customFormat="false" ht="15" hidden="false" customHeight="false" outlineLevel="0" collapsed="false">
      <c r="A68" s="13" t="s">
        <v>228</v>
      </c>
      <c r="B68" s="13" t="s">
        <v>225</v>
      </c>
      <c r="C68" s="13" t="s">
        <v>210</v>
      </c>
      <c r="D68" s="13" t="n">
        <v>150</v>
      </c>
      <c r="E68" s="13" t="n">
        <v>4</v>
      </c>
      <c r="F68" s="13" t="n">
        <v>16</v>
      </c>
      <c r="G68" s="14"/>
      <c r="H68" s="14"/>
      <c r="I68" s="14"/>
      <c r="J68" s="15" t="str">
        <f aca="false">IF(OR(H68="",I68=""),"",I68/H68*100)</f>
        <v/>
      </c>
      <c r="K68" s="14"/>
      <c r="L68" s="14"/>
      <c r="M68" s="15" t="str">
        <f aca="false">IF(OR(K68="",L68=""),"",L68/K68*100)</f>
        <v/>
      </c>
      <c r="N6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4" min="3" style="0" width="12"/>
  </cols>
  <sheetData>
    <row r="1" customFormat="false" ht="16.1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232</v>
      </c>
      <c r="G4" s="16"/>
      <c r="H4" s="16" t="s">
        <v>233</v>
      </c>
      <c r="I4" s="16"/>
      <c r="J4" s="16" t="s">
        <v>234</v>
      </c>
      <c r="K4" s="16"/>
      <c r="L4" s="16" t="s">
        <v>235</v>
      </c>
      <c r="M4" s="16"/>
      <c r="N4" s="17" t="s">
        <v>236</v>
      </c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237</v>
      </c>
      <c r="G5" s="18" t="s">
        <v>238</v>
      </c>
      <c r="H5" s="18" t="s">
        <v>239</v>
      </c>
      <c r="I5" s="18" t="s">
        <v>240</v>
      </c>
      <c r="J5" s="18" t="s">
        <v>241</v>
      </c>
      <c r="K5" s="18" t="s">
        <v>242</v>
      </c>
      <c r="L5" s="18" t="s">
        <v>243</v>
      </c>
      <c r="M5" s="18" t="s">
        <v>244</v>
      </c>
      <c r="N5" s="18" t="s">
        <v>245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14.2</v>
      </c>
      <c r="G6" s="21" t="n">
        <v>3</v>
      </c>
      <c r="H6" s="21" t="n">
        <v>19.8</v>
      </c>
      <c r="I6" s="21" t="n">
        <v>4</v>
      </c>
      <c r="J6" s="21" t="n">
        <v>24.1</v>
      </c>
      <c r="K6" s="21" t="n">
        <v>5</v>
      </c>
      <c r="L6" s="21" t="n">
        <v>28.6</v>
      </c>
      <c r="M6" s="21" t="n">
        <v>6</v>
      </c>
      <c r="N6" s="22" t="n">
        <f aca="false">IF(OR(F6="",L6=""),"",(L6-F6)/30)</f>
        <v>0.48</v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14"/>
      <c r="I7" s="14"/>
      <c r="J7" s="14"/>
      <c r="K7" s="14"/>
      <c r="L7" s="14"/>
      <c r="M7" s="14"/>
      <c r="N7" s="23" t="str">
        <f aca="false">IF(OR(F7="",L7=""),"",(L7-F7)/30)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14"/>
      <c r="I8" s="14"/>
      <c r="J8" s="14"/>
      <c r="K8" s="14"/>
      <c r="L8" s="14"/>
      <c r="M8" s="14"/>
      <c r="N8" s="23" t="str">
        <f aca="false">IF(OR(F8="",L8=""),"",(L8-F8)/30)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14"/>
      <c r="I9" s="14"/>
      <c r="J9" s="14"/>
      <c r="K9" s="14"/>
      <c r="L9" s="14"/>
      <c r="M9" s="14"/>
      <c r="N9" s="23" t="str">
        <f aca="false">IF(OR(F9="",L9=""),"",(L9-F9)/30)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14"/>
      <c r="I10" s="14"/>
      <c r="J10" s="14"/>
      <c r="K10" s="14"/>
      <c r="L10" s="14"/>
      <c r="M10" s="14"/>
      <c r="N10" s="23" t="str">
        <f aca="false">IF(OR(F10="",L10=""),"",(L10-F10)/30)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14"/>
      <c r="I11" s="14"/>
      <c r="J11" s="14"/>
      <c r="K11" s="14"/>
      <c r="L11" s="14"/>
      <c r="M11" s="14"/>
      <c r="N11" s="23" t="str">
        <f aca="false">IF(OR(F11="",L11=""),"",(L11-F11)/30)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14"/>
      <c r="I12" s="14"/>
      <c r="J12" s="14"/>
      <c r="K12" s="14"/>
      <c r="L12" s="14"/>
      <c r="M12" s="14"/>
      <c r="N12" s="23" t="str">
        <f aca="false">IF(OR(F12="",L12=""),"",(L12-F12)/30)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14"/>
      <c r="I13" s="14"/>
      <c r="J13" s="14"/>
      <c r="K13" s="14"/>
      <c r="L13" s="14"/>
      <c r="M13" s="14"/>
      <c r="N13" s="23" t="str">
        <f aca="false">IF(OR(F13="",L13=""),"",(L13-F13)/30)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14"/>
      <c r="I14" s="14"/>
      <c r="J14" s="14"/>
      <c r="K14" s="14"/>
      <c r="L14" s="14"/>
      <c r="M14" s="14"/>
      <c r="N14" s="23" t="str">
        <f aca="false">IF(OR(F14="",L14=""),"",(L14-F14)/30)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14"/>
      <c r="I15" s="14"/>
      <c r="J15" s="14"/>
      <c r="K15" s="14"/>
      <c r="L15" s="14"/>
      <c r="M15" s="14"/>
      <c r="N15" s="23" t="str">
        <f aca="false">IF(OR(F15="",L15=""),"",(L15-F15)/30)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14"/>
      <c r="I16" s="14"/>
      <c r="J16" s="14"/>
      <c r="K16" s="14"/>
      <c r="L16" s="14"/>
      <c r="M16" s="14"/>
      <c r="N16" s="23" t="str">
        <f aca="false">IF(OR(F16="",L16=""),"",(L16-F16)/30)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14"/>
      <c r="I17" s="14"/>
      <c r="J17" s="14"/>
      <c r="K17" s="14"/>
      <c r="L17" s="14"/>
      <c r="M17" s="14"/>
      <c r="N17" s="23" t="str">
        <f aca="false">IF(OR(F17="",L17=""),"",(L17-F17)/30)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14"/>
      <c r="I18" s="14"/>
      <c r="J18" s="14"/>
      <c r="K18" s="14"/>
      <c r="L18" s="14"/>
      <c r="M18" s="14"/>
      <c r="N18" s="23" t="str">
        <f aca="false">IF(OR(F18="",L18=""),"",(L18-F18)/30)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14"/>
      <c r="I19" s="14"/>
      <c r="J19" s="14"/>
      <c r="K19" s="14"/>
      <c r="L19" s="14"/>
      <c r="M19" s="14"/>
      <c r="N19" s="23" t="str">
        <f aca="false">IF(OR(F19="",L19=""),"",(L19-F19)/30)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14"/>
      <c r="I20" s="14"/>
      <c r="J20" s="14"/>
      <c r="K20" s="14"/>
      <c r="L20" s="14"/>
      <c r="M20" s="14"/>
      <c r="N20" s="23" t="str">
        <f aca="false">IF(OR(F20="",L20=""),"",(L20-F20)/30)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14"/>
      <c r="I21" s="14"/>
      <c r="J21" s="14"/>
      <c r="K21" s="14"/>
      <c r="L21" s="14"/>
      <c r="M21" s="14"/>
      <c r="N21" s="23" t="str">
        <f aca="false">IF(OR(F21="",L21=""),"",(L21-F21)/30)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14"/>
      <c r="I22" s="14"/>
      <c r="J22" s="14"/>
      <c r="K22" s="14"/>
      <c r="L22" s="14"/>
      <c r="M22" s="14"/>
      <c r="N22" s="23" t="str">
        <f aca="false">IF(OR(F22="",L22=""),"",(L22-F22)/30)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14"/>
      <c r="I23" s="14"/>
      <c r="J23" s="14"/>
      <c r="K23" s="14"/>
      <c r="L23" s="14"/>
      <c r="M23" s="14"/>
      <c r="N23" s="23" t="str">
        <f aca="false">IF(OR(F23="",L23=""),"",(L23-F23)/30)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14"/>
      <c r="I24" s="14"/>
      <c r="J24" s="14"/>
      <c r="K24" s="14"/>
      <c r="L24" s="14"/>
      <c r="M24" s="14"/>
      <c r="N24" s="23" t="str">
        <f aca="false">IF(OR(F24="",L24=""),"",(L24-F24)/30)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14"/>
      <c r="I25" s="14"/>
      <c r="J25" s="14"/>
      <c r="K25" s="14"/>
      <c r="L25" s="14"/>
      <c r="M25" s="14"/>
      <c r="N25" s="23" t="str">
        <f aca="false">IF(OR(F25="",L25=""),"",(L25-F25)/30)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14"/>
      <c r="I26" s="14"/>
      <c r="J26" s="14"/>
      <c r="K26" s="14"/>
      <c r="L26" s="14"/>
      <c r="M26" s="14"/>
      <c r="N26" s="23" t="str">
        <f aca="false">IF(OR(F26="",L26=""),"",(L26-F26)/30)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14"/>
      <c r="I27" s="14"/>
      <c r="J27" s="14"/>
      <c r="K27" s="14"/>
      <c r="L27" s="14"/>
      <c r="M27" s="14"/>
      <c r="N27" s="23" t="str">
        <f aca="false">IF(OR(F27="",L27=""),"",(L27-F27)/30)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14"/>
      <c r="I28" s="14"/>
      <c r="J28" s="14"/>
      <c r="K28" s="14"/>
      <c r="L28" s="14"/>
      <c r="M28" s="14"/>
      <c r="N28" s="23" t="str">
        <f aca="false">IF(OR(F28="",L28=""),"",(L28-F28)/30)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14"/>
      <c r="I29" s="14"/>
      <c r="J29" s="14"/>
      <c r="K29" s="14"/>
      <c r="L29" s="14"/>
      <c r="M29" s="14"/>
      <c r="N29" s="23" t="str">
        <f aca="false">IF(OR(F29="",L29=""),"",(L29-F29)/30)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14"/>
      <c r="I30" s="14"/>
      <c r="J30" s="14"/>
      <c r="K30" s="14"/>
      <c r="L30" s="14"/>
      <c r="M30" s="14"/>
      <c r="N30" s="23" t="str">
        <f aca="false">IF(OR(F30="",L30=""),"",(L30-F30)/30)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14"/>
      <c r="I31" s="14"/>
      <c r="J31" s="14"/>
      <c r="K31" s="14"/>
      <c r="L31" s="14"/>
      <c r="M31" s="14"/>
      <c r="N31" s="23" t="str">
        <f aca="false">IF(OR(F31="",L31=""),"",(L31-F31)/30)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14"/>
      <c r="I32" s="14"/>
      <c r="J32" s="14"/>
      <c r="K32" s="14"/>
      <c r="L32" s="14"/>
      <c r="M32" s="14"/>
      <c r="N32" s="23" t="str">
        <f aca="false">IF(OR(F32="",L32=""),"",(L32-F32)/30)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14"/>
      <c r="I33" s="14"/>
      <c r="J33" s="14"/>
      <c r="K33" s="14"/>
      <c r="L33" s="14"/>
      <c r="M33" s="14"/>
      <c r="N33" s="23" t="str">
        <f aca="false">IF(OR(F33="",L33=""),"",(L33-F33)/30)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14"/>
      <c r="I34" s="14"/>
      <c r="J34" s="14"/>
      <c r="K34" s="14"/>
      <c r="L34" s="14"/>
      <c r="M34" s="14"/>
      <c r="N34" s="23" t="str">
        <f aca="false">IF(OR(F34="",L34=""),"",(L34-F34)/30)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14"/>
      <c r="I35" s="14"/>
      <c r="J35" s="14"/>
      <c r="K35" s="14"/>
      <c r="L35" s="14"/>
      <c r="M35" s="14"/>
      <c r="N35" s="23" t="str">
        <f aca="false">IF(OR(F35="",L35=""),"",(L35-F35)/30)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14"/>
      <c r="I36" s="14"/>
      <c r="J36" s="14"/>
      <c r="K36" s="14"/>
      <c r="L36" s="14"/>
      <c r="M36" s="14"/>
      <c r="N36" s="23" t="str">
        <f aca="false">IF(OR(F36="",L36=""),"",(L36-F36)/30)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14"/>
      <c r="I37" s="14"/>
      <c r="J37" s="14"/>
      <c r="K37" s="14"/>
      <c r="L37" s="14"/>
      <c r="M37" s="14"/>
      <c r="N37" s="23" t="str">
        <f aca="false">IF(OR(F37="",L37=""),"",(L37-F37)/30)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14"/>
      <c r="I38" s="14"/>
      <c r="J38" s="14"/>
      <c r="K38" s="14"/>
      <c r="L38" s="14"/>
      <c r="M38" s="14"/>
      <c r="N38" s="23" t="str">
        <f aca="false">IF(OR(F38="",L38=""),"",(L38-F38)/30)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14"/>
      <c r="I39" s="14"/>
      <c r="J39" s="14"/>
      <c r="K39" s="14"/>
      <c r="L39" s="14"/>
      <c r="M39" s="14"/>
      <c r="N39" s="23" t="str">
        <f aca="false">IF(OR(F39="",L39=""),"",(L39-F39)/30)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14"/>
      <c r="I40" s="14"/>
      <c r="J40" s="14"/>
      <c r="K40" s="14"/>
      <c r="L40" s="14"/>
      <c r="M40" s="14"/>
      <c r="N40" s="23" t="str">
        <f aca="false">IF(OR(F40="",L40=""),"",(L40-F40)/30)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14"/>
      <c r="I41" s="14"/>
      <c r="J41" s="14"/>
      <c r="K41" s="14"/>
      <c r="L41" s="14"/>
      <c r="M41" s="14"/>
      <c r="N41" s="23" t="str">
        <f aca="false">IF(OR(F41="",L41=""),"",(L41-F41)/30)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14"/>
      <c r="I42" s="14"/>
      <c r="J42" s="14"/>
      <c r="K42" s="14"/>
      <c r="L42" s="14"/>
      <c r="M42" s="14"/>
      <c r="N42" s="23" t="str">
        <f aca="false">IF(OR(F42="",L42=""),"",(L42-F42)/30)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14"/>
      <c r="I43" s="14"/>
      <c r="J43" s="14"/>
      <c r="K43" s="14"/>
      <c r="L43" s="14"/>
      <c r="M43" s="14"/>
      <c r="N43" s="23" t="str">
        <f aca="false">IF(OR(F43="",L43=""),"",(L43-F43)/30)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14"/>
      <c r="I44" s="14"/>
      <c r="J44" s="14"/>
      <c r="K44" s="14"/>
      <c r="L44" s="14"/>
      <c r="M44" s="14"/>
      <c r="N44" s="23" t="str">
        <f aca="false">IF(OR(F44="",L44=""),"",(L44-F44)/30)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14"/>
      <c r="I45" s="14"/>
      <c r="J45" s="14"/>
      <c r="K45" s="14"/>
      <c r="L45" s="14"/>
      <c r="M45" s="14"/>
      <c r="N45" s="23" t="str">
        <f aca="false">IF(OR(F45="",L45=""),"",(L45-F45)/30)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14"/>
      <c r="I46" s="14"/>
      <c r="J46" s="14"/>
      <c r="K46" s="14"/>
      <c r="L46" s="14"/>
      <c r="M46" s="14"/>
      <c r="N46" s="23" t="str">
        <f aca="false">IF(OR(F46="",L46=""),"",(L46-F46)/30)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14"/>
      <c r="I47" s="14"/>
      <c r="J47" s="14"/>
      <c r="K47" s="14"/>
      <c r="L47" s="14"/>
      <c r="M47" s="14"/>
      <c r="N47" s="23" t="str">
        <f aca="false">IF(OR(F47="",L47=""),"",(L47-F47)/30)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14"/>
      <c r="I48" s="14"/>
      <c r="J48" s="14"/>
      <c r="K48" s="14"/>
      <c r="L48" s="14"/>
      <c r="M48" s="14"/>
      <c r="N48" s="23" t="str">
        <f aca="false">IF(OR(F48="",L48=""),"",(L48-F48)/30)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14"/>
      <c r="I49" s="14"/>
      <c r="J49" s="14"/>
      <c r="K49" s="14"/>
      <c r="L49" s="14"/>
      <c r="M49" s="14"/>
      <c r="N49" s="23" t="str">
        <f aca="false">IF(OR(F49="",L49=""),"",(L49-F49)/30)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14"/>
      <c r="I50" s="14"/>
      <c r="J50" s="14"/>
      <c r="K50" s="14"/>
      <c r="L50" s="14"/>
      <c r="M50" s="14"/>
      <c r="N50" s="23" t="str">
        <f aca="false">IF(OR(F50="",L50=""),"",(L50-F50)/30)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14"/>
      <c r="I51" s="14"/>
      <c r="J51" s="14"/>
      <c r="K51" s="14"/>
      <c r="L51" s="14"/>
      <c r="M51" s="14"/>
      <c r="N51" s="23" t="str">
        <f aca="false">IF(OR(F51="",L51=""),"",(L51-F51)/30)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14"/>
      <c r="I52" s="14"/>
      <c r="J52" s="14"/>
      <c r="K52" s="14"/>
      <c r="L52" s="14"/>
      <c r="M52" s="14"/>
      <c r="N52" s="23" t="str">
        <f aca="false">IF(OR(F52="",L52=""),"",(L52-F52)/30)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14"/>
      <c r="I53" s="14"/>
      <c r="J53" s="14"/>
      <c r="K53" s="14"/>
      <c r="L53" s="14"/>
      <c r="M53" s="14"/>
      <c r="N53" s="23" t="str">
        <f aca="false">IF(OR(F53="",L53=""),"",(L53-F53)/30)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14"/>
      <c r="I54" s="14"/>
      <c r="J54" s="14"/>
      <c r="K54" s="14"/>
      <c r="L54" s="14"/>
      <c r="M54" s="14"/>
      <c r="N54" s="23" t="str">
        <f aca="false">IF(OR(F54="",L54=""),"",(L54-F54)/30)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14"/>
      <c r="I55" s="14"/>
      <c r="J55" s="14"/>
      <c r="K55" s="14"/>
      <c r="L55" s="14"/>
      <c r="M55" s="14"/>
      <c r="N55" s="23" t="str">
        <f aca="false">IF(OR(F55="",L55=""),"",(L55-F55)/30)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14"/>
      <c r="I56" s="14"/>
      <c r="J56" s="14"/>
      <c r="K56" s="14"/>
      <c r="L56" s="14"/>
      <c r="M56" s="14"/>
      <c r="N56" s="23" t="str">
        <f aca="false">IF(OR(F56="",L56=""),"",(L56-F56)/30)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14"/>
      <c r="I57" s="14"/>
      <c r="J57" s="14"/>
      <c r="K57" s="14"/>
      <c r="L57" s="14"/>
      <c r="M57" s="14"/>
      <c r="N57" s="23" t="str">
        <f aca="false">IF(OR(F57="",L57=""),"",(L57-F57)/30)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14"/>
      <c r="I58" s="14"/>
      <c r="J58" s="14"/>
      <c r="K58" s="14"/>
      <c r="L58" s="14"/>
      <c r="M58" s="14"/>
      <c r="N58" s="23" t="str">
        <f aca="false">IF(OR(F58="",L58=""),"",(L58-F58)/30)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14"/>
      <c r="I59" s="14"/>
      <c r="J59" s="14"/>
      <c r="K59" s="14"/>
      <c r="L59" s="14"/>
      <c r="M59" s="14"/>
      <c r="N59" s="23" t="str">
        <f aca="false">IF(OR(F59="",L59=""),"",(L59-F59)/30)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14"/>
      <c r="I60" s="14"/>
      <c r="J60" s="14"/>
      <c r="K60" s="14"/>
      <c r="L60" s="14"/>
      <c r="M60" s="14"/>
      <c r="N60" s="23" t="str">
        <f aca="false">IF(OR(F60="",L60=""),"",(L60-F60)/30)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14"/>
      <c r="I61" s="14"/>
      <c r="J61" s="14"/>
      <c r="K61" s="14"/>
      <c r="L61" s="14"/>
      <c r="M61" s="14"/>
      <c r="N61" s="23" t="str">
        <f aca="false">IF(OR(F61="",L61=""),"",(L61-F61)/30)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14"/>
      <c r="I62" s="14"/>
      <c r="J62" s="14"/>
      <c r="K62" s="14"/>
      <c r="L62" s="14"/>
      <c r="M62" s="14"/>
      <c r="N62" s="23" t="str">
        <f aca="false">IF(OR(F62="",L62=""),"",(L62-F62)/30)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14"/>
      <c r="I63" s="14"/>
      <c r="J63" s="14"/>
      <c r="K63" s="14"/>
      <c r="L63" s="14"/>
      <c r="M63" s="14"/>
      <c r="N63" s="23" t="str">
        <f aca="false">IF(OR(F63="",L63=""),"",(L63-F63)/30)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14"/>
      <c r="I64" s="14"/>
      <c r="J64" s="14"/>
      <c r="K64" s="14"/>
      <c r="L64" s="14"/>
      <c r="M64" s="14"/>
      <c r="N64" s="23" t="str">
        <f aca="false">IF(OR(F64="",L64=""),"",(L64-F64)/30)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14"/>
      <c r="I65" s="14"/>
      <c r="J65" s="14"/>
      <c r="K65" s="14"/>
      <c r="L65" s="14"/>
      <c r="M65" s="14"/>
      <c r="N65" s="23" t="str">
        <f aca="false">IF(OR(F65="",L65=""),"",(L65-F65)/30)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14"/>
      <c r="I66" s="14"/>
      <c r="J66" s="14"/>
      <c r="K66" s="14"/>
      <c r="L66" s="14"/>
      <c r="M66" s="14"/>
      <c r="N66" s="23" t="str">
        <f aca="false">IF(OR(F66="",L66=""),"",(L66-F66)/30)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14"/>
      <c r="I67" s="14"/>
      <c r="J67" s="14"/>
      <c r="K67" s="14"/>
      <c r="L67" s="14"/>
      <c r="M67" s="14"/>
      <c r="N67" s="23" t="str">
        <f aca="false">IF(OR(F67="",L67=""),"",(L67-F67)/30)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14"/>
      <c r="I68" s="14"/>
      <c r="J68" s="14"/>
      <c r="K68" s="14"/>
      <c r="L68" s="14"/>
      <c r="M68" s="14"/>
      <c r="N68" s="23" t="str">
        <f aca="false">IF(OR(F68="",L68=""),"",(L68-F68)/30)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14"/>
      <c r="I69" s="14"/>
      <c r="J69" s="14"/>
      <c r="K69" s="14"/>
      <c r="L69" s="14"/>
      <c r="M69" s="14"/>
      <c r="N69" s="23" t="str">
        <f aca="false">IF(OR(F69="",L69=""),"",(L69-F69)/30)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14"/>
      <c r="I70" s="14"/>
      <c r="J70" s="14"/>
      <c r="K70" s="14"/>
      <c r="L70" s="14"/>
      <c r="M70" s="14"/>
      <c r="N70" s="23" t="str">
        <f aca="false">IF(OR(F70="",L70=""),"",(L70-F70)/30)</f>
        <v/>
      </c>
    </row>
  </sheetData>
  <mergeCells count="5">
    <mergeCell ref="A4:E4"/>
    <mergeCell ref="F4:G4"/>
    <mergeCell ref="H4:I4"/>
    <mergeCell ref="J4:K4"/>
    <mergeCell ref="L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24" min="3" style="0" width="12"/>
  </cols>
  <sheetData>
    <row r="1" customFormat="false" ht="16.1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251</v>
      </c>
      <c r="G4" s="16"/>
      <c r="H4" s="16"/>
      <c r="I4" s="16" t="s">
        <v>252</v>
      </c>
      <c r="J4" s="16"/>
      <c r="K4" s="16"/>
      <c r="L4" s="16"/>
      <c r="M4" s="16"/>
      <c r="N4" s="16"/>
      <c r="O4" s="16"/>
      <c r="P4" s="16"/>
      <c r="Q4" s="16" t="s">
        <v>72</v>
      </c>
      <c r="R4" s="16"/>
      <c r="S4" s="16"/>
      <c r="T4" s="16"/>
      <c r="U4" s="16" t="s">
        <v>76</v>
      </c>
      <c r="V4" s="16"/>
      <c r="W4" s="16"/>
      <c r="X4" s="16"/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253</v>
      </c>
      <c r="G5" s="18" t="s">
        <v>254</v>
      </c>
      <c r="H5" s="18" t="s">
        <v>255</v>
      </c>
      <c r="I5" s="18" t="s">
        <v>256</v>
      </c>
      <c r="J5" s="18" t="s">
        <v>257</v>
      </c>
      <c r="K5" s="18" t="s">
        <v>258</v>
      </c>
      <c r="L5" s="18" t="s">
        <v>259</v>
      </c>
      <c r="M5" s="18" t="s">
        <v>260</v>
      </c>
      <c r="N5" s="18" t="s">
        <v>261</v>
      </c>
      <c r="O5" s="18" t="s">
        <v>262</v>
      </c>
      <c r="P5" s="18" t="s">
        <v>263</v>
      </c>
      <c r="Q5" s="18" t="s">
        <v>264</v>
      </c>
      <c r="R5" s="18" t="s">
        <v>265</v>
      </c>
      <c r="S5" s="18" t="s">
        <v>266</v>
      </c>
      <c r="T5" s="18" t="s">
        <v>267</v>
      </c>
      <c r="U5" s="18" t="s">
        <v>268</v>
      </c>
      <c r="V5" s="18" t="s">
        <v>269</v>
      </c>
      <c r="W5" s="18" t="s">
        <v>270</v>
      </c>
      <c r="X5" s="18" t="s">
        <v>271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42.5</v>
      </c>
      <c r="G6" s="21" t="n">
        <v>3.12</v>
      </c>
      <c r="H6" s="21" t="n">
        <v>0.61</v>
      </c>
      <c r="I6" s="21" t="n">
        <v>9.4</v>
      </c>
      <c r="J6" s="21" t="n">
        <v>1.05</v>
      </c>
      <c r="K6" s="21" t="n">
        <v>0.18</v>
      </c>
      <c r="L6" s="22" t="n">
        <f aca="false">IF(OR(K6="",H6=""),"",K6/H6)</f>
        <v>0.295081967213115</v>
      </c>
      <c r="M6" s="21" t="n">
        <v>1.1</v>
      </c>
      <c r="N6" s="21" t="n">
        <v>38</v>
      </c>
      <c r="O6" s="21" t="n">
        <v>410</v>
      </c>
      <c r="P6" s="21" t="n">
        <v>650</v>
      </c>
      <c r="Q6" s="21" t="n">
        <v>0.25</v>
      </c>
      <c r="R6" s="21" t="n">
        <v>0.292</v>
      </c>
      <c r="S6" s="21" t="n">
        <v>0.061</v>
      </c>
      <c r="T6" s="22" t="n">
        <f aca="false">IF(OR(Q6="",R6="",S6=""),"",(Q6-S6)/(R6-S6)*100)</f>
        <v>81.8181818181818</v>
      </c>
      <c r="U6" s="21" t="n">
        <v>48</v>
      </c>
      <c r="V6" s="21" t="n">
        <v>210</v>
      </c>
      <c r="W6" s="22" t="n">
        <f aca="false">IF(OR(U6="",V6=""),"",U6/V6*100)</f>
        <v>22.8571428571429</v>
      </c>
      <c r="X6" s="22" t="n">
        <f aca="false">IF(OR(U6="",V6=""),"",(1-U6/V6)*100)</f>
        <v>77.1428571428572</v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14"/>
      <c r="I7" s="14"/>
      <c r="J7" s="14"/>
      <c r="K7" s="14"/>
      <c r="L7" s="23" t="str">
        <f aca="false">IF(OR(K7="",H7=""),"",K7/H7)</f>
        <v/>
      </c>
      <c r="M7" s="14"/>
      <c r="N7" s="14"/>
      <c r="O7" s="14"/>
      <c r="P7" s="14"/>
      <c r="Q7" s="14"/>
      <c r="R7" s="14"/>
      <c r="S7" s="14"/>
      <c r="T7" s="23" t="str">
        <f aca="false">IF(OR(Q7="",R7="",S7=""),"",(Q7-S7)/(R7-S7)*100)</f>
        <v/>
      </c>
      <c r="U7" s="14"/>
      <c r="V7" s="14"/>
      <c r="W7" s="23" t="str">
        <f aca="false">IF(OR(U7="",V7=""),"",U7/V7*100)</f>
        <v/>
      </c>
      <c r="X7" s="23" t="str">
        <f aca="false">IF(OR(U7="",V7=""),"",(1-U7/V7)*100)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14"/>
      <c r="I8" s="14"/>
      <c r="J8" s="14"/>
      <c r="K8" s="14"/>
      <c r="L8" s="23" t="str">
        <f aca="false">IF(OR(K8="",H8=""),"",K8/H8)</f>
        <v/>
      </c>
      <c r="M8" s="14"/>
      <c r="N8" s="14"/>
      <c r="O8" s="14"/>
      <c r="P8" s="14"/>
      <c r="Q8" s="14"/>
      <c r="R8" s="14"/>
      <c r="S8" s="14"/>
      <c r="T8" s="23" t="str">
        <f aca="false">IF(OR(Q8="",R8="",S8=""),"",(Q8-S8)/(R8-S8)*100)</f>
        <v/>
      </c>
      <c r="U8" s="14"/>
      <c r="V8" s="14"/>
      <c r="W8" s="23" t="str">
        <f aca="false">IF(OR(U8="",V8=""),"",U8/V8*100)</f>
        <v/>
      </c>
      <c r="X8" s="23" t="str">
        <f aca="false">IF(OR(U8="",V8=""),"",(1-U8/V8)*100)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14"/>
      <c r="I9" s="14"/>
      <c r="J9" s="14"/>
      <c r="K9" s="14"/>
      <c r="L9" s="23" t="str">
        <f aca="false">IF(OR(K9="",H9=""),"",K9/H9)</f>
        <v/>
      </c>
      <c r="M9" s="14"/>
      <c r="N9" s="14"/>
      <c r="O9" s="14"/>
      <c r="P9" s="14"/>
      <c r="Q9" s="14"/>
      <c r="R9" s="14"/>
      <c r="S9" s="14"/>
      <c r="T9" s="23" t="str">
        <f aca="false">IF(OR(Q9="",R9="",S9=""),"",(Q9-S9)/(R9-S9)*100)</f>
        <v/>
      </c>
      <c r="U9" s="14"/>
      <c r="V9" s="14"/>
      <c r="W9" s="23" t="str">
        <f aca="false">IF(OR(U9="",V9=""),"",U9/V9*100)</f>
        <v/>
      </c>
      <c r="X9" s="23" t="str">
        <f aca="false">IF(OR(U9="",V9=""),"",(1-U9/V9)*100)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14"/>
      <c r="I10" s="14"/>
      <c r="J10" s="14"/>
      <c r="K10" s="14"/>
      <c r="L10" s="23" t="str">
        <f aca="false">IF(OR(K10="",H10=""),"",K10/H10)</f>
        <v/>
      </c>
      <c r="M10" s="14"/>
      <c r="N10" s="14"/>
      <c r="O10" s="14"/>
      <c r="P10" s="14"/>
      <c r="Q10" s="14"/>
      <c r="R10" s="14"/>
      <c r="S10" s="14"/>
      <c r="T10" s="23" t="str">
        <f aca="false">IF(OR(Q10="",R10="",S10=""),"",(Q10-S10)/(R10-S10)*100)</f>
        <v/>
      </c>
      <c r="U10" s="14"/>
      <c r="V10" s="14"/>
      <c r="W10" s="23" t="str">
        <f aca="false">IF(OR(U10="",V10=""),"",U10/V10*100)</f>
        <v/>
      </c>
      <c r="X10" s="23" t="str">
        <f aca="false">IF(OR(U10="",V10=""),"",(1-U10/V10)*100)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14"/>
      <c r="I11" s="14"/>
      <c r="J11" s="14"/>
      <c r="K11" s="14"/>
      <c r="L11" s="23" t="str">
        <f aca="false">IF(OR(K11="",H11=""),"",K11/H11)</f>
        <v/>
      </c>
      <c r="M11" s="14"/>
      <c r="N11" s="14"/>
      <c r="O11" s="14"/>
      <c r="P11" s="14"/>
      <c r="Q11" s="14"/>
      <c r="R11" s="14"/>
      <c r="S11" s="14"/>
      <c r="T11" s="23" t="str">
        <f aca="false">IF(OR(Q11="",R11="",S11=""),"",(Q11-S11)/(R11-S11)*100)</f>
        <v/>
      </c>
      <c r="U11" s="14"/>
      <c r="V11" s="14"/>
      <c r="W11" s="23" t="str">
        <f aca="false">IF(OR(U11="",V11=""),"",U11/V11*100)</f>
        <v/>
      </c>
      <c r="X11" s="23" t="str">
        <f aca="false">IF(OR(U11="",V11=""),"",(1-U11/V11)*100)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14"/>
      <c r="I12" s="14"/>
      <c r="J12" s="14"/>
      <c r="K12" s="14"/>
      <c r="L12" s="23" t="str">
        <f aca="false">IF(OR(K12="",H12=""),"",K12/H12)</f>
        <v/>
      </c>
      <c r="M12" s="14"/>
      <c r="N12" s="14"/>
      <c r="O12" s="14"/>
      <c r="P12" s="14"/>
      <c r="Q12" s="14"/>
      <c r="R12" s="14"/>
      <c r="S12" s="14"/>
      <c r="T12" s="23" t="str">
        <f aca="false">IF(OR(Q12="",R12="",S12=""),"",(Q12-S12)/(R12-S12)*100)</f>
        <v/>
      </c>
      <c r="U12" s="14"/>
      <c r="V12" s="14"/>
      <c r="W12" s="23" t="str">
        <f aca="false">IF(OR(U12="",V12=""),"",U12/V12*100)</f>
        <v/>
      </c>
      <c r="X12" s="23" t="str">
        <f aca="false">IF(OR(U12="",V12=""),"",(1-U12/V12)*100)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14"/>
      <c r="I13" s="14"/>
      <c r="J13" s="14"/>
      <c r="K13" s="14"/>
      <c r="L13" s="23" t="str">
        <f aca="false">IF(OR(K13="",H13=""),"",K13/H13)</f>
        <v/>
      </c>
      <c r="M13" s="14"/>
      <c r="N13" s="14"/>
      <c r="O13" s="14"/>
      <c r="P13" s="14"/>
      <c r="Q13" s="14"/>
      <c r="R13" s="14"/>
      <c r="S13" s="14"/>
      <c r="T13" s="23" t="str">
        <f aca="false">IF(OR(Q13="",R13="",S13=""),"",(Q13-S13)/(R13-S13)*100)</f>
        <v/>
      </c>
      <c r="U13" s="14"/>
      <c r="V13" s="14"/>
      <c r="W13" s="23" t="str">
        <f aca="false">IF(OR(U13="",V13=""),"",U13/V13*100)</f>
        <v/>
      </c>
      <c r="X13" s="23" t="str">
        <f aca="false">IF(OR(U13="",V13=""),"",(1-U13/V13)*100)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14"/>
      <c r="I14" s="14"/>
      <c r="J14" s="14"/>
      <c r="K14" s="14"/>
      <c r="L14" s="23" t="str">
        <f aca="false">IF(OR(K14="",H14=""),"",K14/H14)</f>
        <v/>
      </c>
      <c r="M14" s="14"/>
      <c r="N14" s="14"/>
      <c r="O14" s="14"/>
      <c r="P14" s="14"/>
      <c r="Q14" s="14"/>
      <c r="R14" s="14"/>
      <c r="S14" s="14"/>
      <c r="T14" s="23" t="str">
        <f aca="false">IF(OR(Q14="",R14="",S14=""),"",(Q14-S14)/(R14-S14)*100)</f>
        <v/>
      </c>
      <c r="U14" s="14"/>
      <c r="V14" s="14"/>
      <c r="W14" s="23" t="str">
        <f aca="false">IF(OR(U14="",V14=""),"",U14/V14*100)</f>
        <v/>
      </c>
      <c r="X14" s="23" t="str">
        <f aca="false">IF(OR(U14="",V14=""),"",(1-U14/V14)*100)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14"/>
      <c r="I15" s="14"/>
      <c r="J15" s="14"/>
      <c r="K15" s="14"/>
      <c r="L15" s="23" t="str">
        <f aca="false">IF(OR(K15="",H15=""),"",K15/H15)</f>
        <v/>
      </c>
      <c r="M15" s="14"/>
      <c r="N15" s="14"/>
      <c r="O15" s="14"/>
      <c r="P15" s="14"/>
      <c r="Q15" s="14"/>
      <c r="R15" s="14"/>
      <c r="S15" s="14"/>
      <c r="T15" s="23" t="str">
        <f aca="false">IF(OR(Q15="",R15="",S15=""),"",(Q15-S15)/(R15-S15)*100)</f>
        <v/>
      </c>
      <c r="U15" s="14"/>
      <c r="V15" s="14"/>
      <c r="W15" s="23" t="str">
        <f aca="false">IF(OR(U15="",V15=""),"",U15/V15*100)</f>
        <v/>
      </c>
      <c r="X15" s="23" t="str">
        <f aca="false">IF(OR(U15="",V15=""),"",(1-U15/V15)*100)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14"/>
      <c r="I16" s="14"/>
      <c r="J16" s="14"/>
      <c r="K16" s="14"/>
      <c r="L16" s="23" t="str">
        <f aca="false">IF(OR(K16="",H16=""),"",K16/H16)</f>
        <v/>
      </c>
      <c r="M16" s="14"/>
      <c r="N16" s="14"/>
      <c r="O16" s="14"/>
      <c r="P16" s="14"/>
      <c r="Q16" s="14"/>
      <c r="R16" s="14"/>
      <c r="S16" s="14"/>
      <c r="T16" s="23" t="str">
        <f aca="false">IF(OR(Q16="",R16="",S16=""),"",(Q16-S16)/(R16-S16)*100)</f>
        <v/>
      </c>
      <c r="U16" s="14"/>
      <c r="V16" s="14"/>
      <c r="W16" s="23" t="str">
        <f aca="false">IF(OR(U16="",V16=""),"",U16/V16*100)</f>
        <v/>
      </c>
      <c r="X16" s="23" t="str">
        <f aca="false">IF(OR(U16="",V16=""),"",(1-U16/V16)*100)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14"/>
      <c r="I17" s="14"/>
      <c r="J17" s="14"/>
      <c r="K17" s="14"/>
      <c r="L17" s="23" t="str">
        <f aca="false">IF(OR(K17="",H17=""),"",K17/H17)</f>
        <v/>
      </c>
      <c r="M17" s="14"/>
      <c r="N17" s="14"/>
      <c r="O17" s="14"/>
      <c r="P17" s="14"/>
      <c r="Q17" s="14"/>
      <c r="R17" s="14"/>
      <c r="S17" s="14"/>
      <c r="T17" s="23" t="str">
        <f aca="false">IF(OR(Q17="",R17="",S17=""),"",(Q17-S17)/(R17-S17)*100)</f>
        <v/>
      </c>
      <c r="U17" s="14"/>
      <c r="V17" s="14"/>
      <c r="W17" s="23" t="str">
        <f aca="false">IF(OR(U17="",V17=""),"",U17/V17*100)</f>
        <v/>
      </c>
      <c r="X17" s="23" t="str">
        <f aca="false">IF(OR(U17="",V17=""),"",(1-U17/V17)*100)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14"/>
      <c r="I18" s="14"/>
      <c r="J18" s="14"/>
      <c r="K18" s="14"/>
      <c r="L18" s="23" t="str">
        <f aca="false">IF(OR(K18="",H18=""),"",K18/H18)</f>
        <v/>
      </c>
      <c r="M18" s="14"/>
      <c r="N18" s="14"/>
      <c r="O18" s="14"/>
      <c r="P18" s="14"/>
      <c r="Q18" s="14"/>
      <c r="R18" s="14"/>
      <c r="S18" s="14"/>
      <c r="T18" s="23" t="str">
        <f aca="false">IF(OR(Q18="",R18="",S18=""),"",(Q18-S18)/(R18-S18)*100)</f>
        <v/>
      </c>
      <c r="U18" s="14"/>
      <c r="V18" s="14"/>
      <c r="W18" s="23" t="str">
        <f aca="false">IF(OR(U18="",V18=""),"",U18/V18*100)</f>
        <v/>
      </c>
      <c r="X18" s="23" t="str">
        <f aca="false">IF(OR(U18="",V18=""),"",(1-U18/V18)*100)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14"/>
      <c r="I19" s="14"/>
      <c r="J19" s="14"/>
      <c r="K19" s="14"/>
      <c r="L19" s="23" t="str">
        <f aca="false">IF(OR(K19="",H19=""),"",K19/H19)</f>
        <v/>
      </c>
      <c r="M19" s="14"/>
      <c r="N19" s="14"/>
      <c r="O19" s="14"/>
      <c r="P19" s="14"/>
      <c r="Q19" s="14"/>
      <c r="R19" s="14"/>
      <c r="S19" s="14"/>
      <c r="T19" s="23" t="str">
        <f aca="false">IF(OR(Q19="",R19="",S19=""),"",(Q19-S19)/(R19-S19)*100)</f>
        <v/>
      </c>
      <c r="U19" s="14"/>
      <c r="V19" s="14"/>
      <c r="W19" s="23" t="str">
        <f aca="false">IF(OR(U19="",V19=""),"",U19/V19*100)</f>
        <v/>
      </c>
      <c r="X19" s="23" t="str">
        <f aca="false">IF(OR(U19="",V19=""),"",(1-U19/V19)*100)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14"/>
      <c r="I20" s="14"/>
      <c r="J20" s="14"/>
      <c r="K20" s="14"/>
      <c r="L20" s="23" t="str">
        <f aca="false">IF(OR(K20="",H20=""),"",K20/H20)</f>
        <v/>
      </c>
      <c r="M20" s="14"/>
      <c r="N20" s="14"/>
      <c r="O20" s="14"/>
      <c r="P20" s="14"/>
      <c r="Q20" s="14"/>
      <c r="R20" s="14"/>
      <c r="S20" s="14"/>
      <c r="T20" s="23" t="str">
        <f aca="false">IF(OR(Q20="",R20="",S20=""),"",(Q20-S20)/(R20-S20)*100)</f>
        <v/>
      </c>
      <c r="U20" s="14"/>
      <c r="V20" s="14"/>
      <c r="W20" s="23" t="str">
        <f aca="false">IF(OR(U20="",V20=""),"",U20/V20*100)</f>
        <v/>
      </c>
      <c r="X20" s="23" t="str">
        <f aca="false">IF(OR(U20="",V20=""),"",(1-U20/V20)*100)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14"/>
      <c r="I21" s="14"/>
      <c r="J21" s="14"/>
      <c r="K21" s="14"/>
      <c r="L21" s="23" t="str">
        <f aca="false">IF(OR(K21="",H21=""),"",K21/H21)</f>
        <v/>
      </c>
      <c r="M21" s="14"/>
      <c r="N21" s="14"/>
      <c r="O21" s="14"/>
      <c r="P21" s="14"/>
      <c r="Q21" s="14"/>
      <c r="R21" s="14"/>
      <c r="S21" s="14"/>
      <c r="T21" s="23" t="str">
        <f aca="false">IF(OR(Q21="",R21="",S21=""),"",(Q21-S21)/(R21-S21)*100)</f>
        <v/>
      </c>
      <c r="U21" s="14"/>
      <c r="V21" s="14"/>
      <c r="W21" s="23" t="str">
        <f aca="false">IF(OR(U21="",V21=""),"",U21/V21*100)</f>
        <v/>
      </c>
      <c r="X21" s="23" t="str">
        <f aca="false">IF(OR(U21="",V21=""),"",(1-U21/V21)*100)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14"/>
      <c r="I22" s="14"/>
      <c r="J22" s="14"/>
      <c r="K22" s="14"/>
      <c r="L22" s="23" t="str">
        <f aca="false">IF(OR(K22="",H22=""),"",K22/H22)</f>
        <v/>
      </c>
      <c r="M22" s="14"/>
      <c r="N22" s="14"/>
      <c r="O22" s="14"/>
      <c r="P22" s="14"/>
      <c r="Q22" s="14"/>
      <c r="R22" s="14"/>
      <c r="S22" s="14"/>
      <c r="T22" s="23" t="str">
        <f aca="false">IF(OR(Q22="",R22="",S22=""),"",(Q22-S22)/(R22-S22)*100)</f>
        <v/>
      </c>
      <c r="U22" s="14"/>
      <c r="V22" s="14"/>
      <c r="W22" s="23" t="str">
        <f aca="false">IF(OR(U22="",V22=""),"",U22/V22*100)</f>
        <v/>
      </c>
      <c r="X22" s="23" t="str">
        <f aca="false">IF(OR(U22="",V22=""),"",(1-U22/V22)*100)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14"/>
      <c r="I23" s="14"/>
      <c r="J23" s="14"/>
      <c r="K23" s="14"/>
      <c r="L23" s="23" t="str">
        <f aca="false">IF(OR(K23="",H23=""),"",K23/H23)</f>
        <v/>
      </c>
      <c r="M23" s="14"/>
      <c r="N23" s="14"/>
      <c r="O23" s="14"/>
      <c r="P23" s="14"/>
      <c r="Q23" s="14"/>
      <c r="R23" s="14"/>
      <c r="S23" s="14"/>
      <c r="T23" s="23" t="str">
        <f aca="false">IF(OR(Q23="",R23="",S23=""),"",(Q23-S23)/(R23-S23)*100)</f>
        <v/>
      </c>
      <c r="U23" s="14"/>
      <c r="V23" s="14"/>
      <c r="W23" s="23" t="str">
        <f aca="false">IF(OR(U23="",V23=""),"",U23/V23*100)</f>
        <v/>
      </c>
      <c r="X23" s="23" t="str">
        <f aca="false">IF(OR(U23="",V23=""),"",(1-U23/V23)*100)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14"/>
      <c r="I24" s="14"/>
      <c r="J24" s="14"/>
      <c r="K24" s="14"/>
      <c r="L24" s="23" t="str">
        <f aca="false">IF(OR(K24="",H24=""),"",K24/H24)</f>
        <v/>
      </c>
      <c r="M24" s="14"/>
      <c r="N24" s="14"/>
      <c r="O24" s="14"/>
      <c r="P24" s="14"/>
      <c r="Q24" s="14"/>
      <c r="R24" s="14"/>
      <c r="S24" s="14"/>
      <c r="T24" s="23" t="str">
        <f aca="false">IF(OR(Q24="",R24="",S24=""),"",(Q24-S24)/(R24-S24)*100)</f>
        <v/>
      </c>
      <c r="U24" s="14"/>
      <c r="V24" s="14"/>
      <c r="W24" s="23" t="str">
        <f aca="false">IF(OR(U24="",V24=""),"",U24/V24*100)</f>
        <v/>
      </c>
      <c r="X24" s="23" t="str">
        <f aca="false">IF(OR(U24="",V24=""),"",(1-U24/V24)*100)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14"/>
      <c r="I25" s="14"/>
      <c r="J25" s="14"/>
      <c r="K25" s="14"/>
      <c r="L25" s="23" t="str">
        <f aca="false">IF(OR(K25="",H25=""),"",K25/H25)</f>
        <v/>
      </c>
      <c r="M25" s="14"/>
      <c r="N25" s="14"/>
      <c r="O25" s="14"/>
      <c r="P25" s="14"/>
      <c r="Q25" s="14"/>
      <c r="R25" s="14"/>
      <c r="S25" s="14"/>
      <c r="T25" s="23" t="str">
        <f aca="false">IF(OR(Q25="",R25="",S25=""),"",(Q25-S25)/(R25-S25)*100)</f>
        <v/>
      </c>
      <c r="U25" s="14"/>
      <c r="V25" s="14"/>
      <c r="W25" s="23" t="str">
        <f aca="false">IF(OR(U25="",V25=""),"",U25/V25*100)</f>
        <v/>
      </c>
      <c r="X25" s="23" t="str">
        <f aca="false">IF(OR(U25="",V25=""),"",(1-U25/V25)*100)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14"/>
      <c r="I26" s="14"/>
      <c r="J26" s="14"/>
      <c r="K26" s="14"/>
      <c r="L26" s="23" t="str">
        <f aca="false">IF(OR(K26="",H26=""),"",K26/H26)</f>
        <v/>
      </c>
      <c r="M26" s="14"/>
      <c r="N26" s="14"/>
      <c r="O26" s="14"/>
      <c r="P26" s="14"/>
      <c r="Q26" s="14"/>
      <c r="R26" s="14"/>
      <c r="S26" s="14"/>
      <c r="T26" s="23" t="str">
        <f aca="false">IF(OR(Q26="",R26="",S26=""),"",(Q26-S26)/(R26-S26)*100)</f>
        <v/>
      </c>
      <c r="U26" s="14"/>
      <c r="V26" s="14"/>
      <c r="W26" s="23" t="str">
        <f aca="false">IF(OR(U26="",V26=""),"",U26/V26*100)</f>
        <v/>
      </c>
      <c r="X26" s="23" t="str">
        <f aca="false">IF(OR(U26="",V26=""),"",(1-U26/V26)*100)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14"/>
      <c r="I27" s="14"/>
      <c r="J27" s="14"/>
      <c r="K27" s="14"/>
      <c r="L27" s="23" t="str">
        <f aca="false">IF(OR(K27="",H27=""),"",K27/H27)</f>
        <v/>
      </c>
      <c r="M27" s="14"/>
      <c r="N27" s="14"/>
      <c r="O27" s="14"/>
      <c r="P27" s="14"/>
      <c r="Q27" s="14"/>
      <c r="R27" s="14"/>
      <c r="S27" s="14"/>
      <c r="T27" s="23" t="str">
        <f aca="false">IF(OR(Q27="",R27="",S27=""),"",(Q27-S27)/(R27-S27)*100)</f>
        <v/>
      </c>
      <c r="U27" s="14"/>
      <c r="V27" s="14"/>
      <c r="W27" s="23" t="str">
        <f aca="false">IF(OR(U27="",V27=""),"",U27/V27*100)</f>
        <v/>
      </c>
      <c r="X27" s="23" t="str">
        <f aca="false">IF(OR(U27="",V27=""),"",(1-U27/V27)*100)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14"/>
      <c r="I28" s="14"/>
      <c r="J28" s="14"/>
      <c r="K28" s="14"/>
      <c r="L28" s="23" t="str">
        <f aca="false">IF(OR(K28="",H28=""),"",K28/H28)</f>
        <v/>
      </c>
      <c r="M28" s="14"/>
      <c r="N28" s="14"/>
      <c r="O28" s="14"/>
      <c r="P28" s="14"/>
      <c r="Q28" s="14"/>
      <c r="R28" s="14"/>
      <c r="S28" s="14"/>
      <c r="T28" s="23" t="str">
        <f aca="false">IF(OR(Q28="",R28="",S28=""),"",(Q28-S28)/(R28-S28)*100)</f>
        <v/>
      </c>
      <c r="U28" s="14"/>
      <c r="V28" s="14"/>
      <c r="W28" s="23" t="str">
        <f aca="false">IF(OR(U28="",V28=""),"",U28/V28*100)</f>
        <v/>
      </c>
      <c r="X28" s="23" t="str">
        <f aca="false">IF(OR(U28="",V28=""),"",(1-U28/V28)*100)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14"/>
      <c r="I29" s="14"/>
      <c r="J29" s="14"/>
      <c r="K29" s="14"/>
      <c r="L29" s="23" t="str">
        <f aca="false">IF(OR(K29="",H29=""),"",K29/H29)</f>
        <v/>
      </c>
      <c r="M29" s="14"/>
      <c r="N29" s="14"/>
      <c r="O29" s="14"/>
      <c r="P29" s="14"/>
      <c r="Q29" s="14"/>
      <c r="R29" s="14"/>
      <c r="S29" s="14"/>
      <c r="T29" s="23" t="str">
        <f aca="false">IF(OR(Q29="",R29="",S29=""),"",(Q29-S29)/(R29-S29)*100)</f>
        <v/>
      </c>
      <c r="U29" s="14"/>
      <c r="V29" s="14"/>
      <c r="W29" s="23" t="str">
        <f aca="false">IF(OR(U29="",V29=""),"",U29/V29*100)</f>
        <v/>
      </c>
      <c r="X29" s="23" t="str">
        <f aca="false">IF(OR(U29="",V29=""),"",(1-U29/V29)*100)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14"/>
      <c r="I30" s="14"/>
      <c r="J30" s="14"/>
      <c r="K30" s="14"/>
      <c r="L30" s="23" t="str">
        <f aca="false">IF(OR(K30="",H30=""),"",K30/H30)</f>
        <v/>
      </c>
      <c r="M30" s="14"/>
      <c r="N30" s="14"/>
      <c r="O30" s="14"/>
      <c r="P30" s="14"/>
      <c r="Q30" s="14"/>
      <c r="R30" s="14"/>
      <c r="S30" s="14"/>
      <c r="T30" s="23" t="str">
        <f aca="false">IF(OR(Q30="",R30="",S30=""),"",(Q30-S30)/(R30-S30)*100)</f>
        <v/>
      </c>
      <c r="U30" s="14"/>
      <c r="V30" s="14"/>
      <c r="W30" s="23" t="str">
        <f aca="false">IF(OR(U30="",V30=""),"",U30/V30*100)</f>
        <v/>
      </c>
      <c r="X30" s="23" t="str">
        <f aca="false">IF(OR(U30="",V30=""),"",(1-U30/V30)*100)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14"/>
      <c r="I31" s="14"/>
      <c r="J31" s="14"/>
      <c r="K31" s="14"/>
      <c r="L31" s="23" t="str">
        <f aca="false">IF(OR(K31="",H31=""),"",K31/H31)</f>
        <v/>
      </c>
      <c r="M31" s="14"/>
      <c r="N31" s="14"/>
      <c r="O31" s="14"/>
      <c r="P31" s="14"/>
      <c r="Q31" s="14"/>
      <c r="R31" s="14"/>
      <c r="S31" s="14"/>
      <c r="T31" s="23" t="str">
        <f aca="false">IF(OR(Q31="",R31="",S31=""),"",(Q31-S31)/(R31-S31)*100)</f>
        <v/>
      </c>
      <c r="U31" s="14"/>
      <c r="V31" s="14"/>
      <c r="W31" s="23" t="str">
        <f aca="false">IF(OR(U31="",V31=""),"",U31/V31*100)</f>
        <v/>
      </c>
      <c r="X31" s="23" t="str">
        <f aca="false">IF(OR(U31="",V31=""),"",(1-U31/V31)*100)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14"/>
      <c r="I32" s="14"/>
      <c r="J32" s="14"/>
      <c r="K32" s="14"/>
      <c r="L32" s="23" t="str">
        <f aca="false">IF(OR(K32="",H32=""),"",K32/H32)</f>
        <v/>
      </c>
      <c r="M32" s="14"/>
      <c r="N32" s="14"/>
      <c r="O32" s="14"/>
      <c r="P32" s="14"/>
      <c r="Q32" s="14"/>
      <c r="R32" s="14"/>
      <c r="S32" s="14"/>
      <c r="T32" s="23" t="str">
        <f aca="false">IF(OR(Q32="",R32="",S32=""),"",(Q32-S32)/(R32-S32)*100)</f>
        <v/>
      </c>
      <c r="U32" s="14"/>
      <c r="V32" s="14"/>
      <c r="W32" s="23" t="str">
        <f aca="false">IF(OR(U32="",V32=""),"",U32/V32*100)</f>
        <v/>
      </c>
      <c r="X32" s="23" t="str">
        <f aca="false">IF(OR(U32="",V32=""),"",(1-U32/V32)*100)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14"/>
      <c r="I33" s="14"/>
      <c r="J33" s="14"/>
      <c r="K33" s="14"/>
      <c r="L33" s="23" t="str">
        <f aca="false">IF(OR(K33="",H33=""),"",K33/H33)</f>
        <v/>
      </c>
      <c r="M33" s="14"/>
      <c r="N33" s="14"/>
      <c r="O33" s="14"/>
      <c r="P33" s="14"/>
      <c r="Q33" s="14"/>
      <c r="R33" s="14"/>
      <c r="S33" s="14"/>
      <c r="T33" s="23" t="str">
        <f aca="false">IF(OR(Q33="",R33="",S33=""),"",(Q33-S33)/(R33-S33)*100)</f>
        <v/>
      </c>
      <c r="U33" s="14"/>
      <c r="V33" s="14"/>
      <c r="W33" s="23" t="str">
        <f aca="false">IF(OR(U33="",V33=""),"",U33/V33*100)</f>
        <v/>
      </c>
      <c r="X33" s="23" t="str">
        <f aca="false">IF(OR(U33="",V33=""),"",(1-U33/V33)*100)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14"/>
      <c r="I34" s="14"/>
      <c r="J34" s="14"/>
      <c r="K34" s="14"/>
      <c r="L34" s="23" t="str">
        <f aca="false">IF(OR(K34="",H34=""),"",K34/H34)</f>
        <v/>
      </c>
      <c r="M34" s="14"/>
      <c r="N34" s="14"/>
      <c r="O34" s="14"/>
      <c r="P34" s="14"/>
      <c r="Q34" s="14"/>
      <c r="R34" s="14"/>
      <c r="S34" s="14"/>
      <c r="T34" s="23" t="str">
        <f aca="false">IF(OR(Q34="",R34="",S34=""),"",(Q34-S34)/(R34-S34)*100)</f>
        <v/>
      </c>
      <c r="U34" s="14"/>
      <c r="V34" s="14"/>
      <c r="W34" s="23" t="str">
        <f aca="false">IF(OR(U34="",V34=""),"",U34/V34*100)</f>
        <v/>
      </c>
      <c r="X34" s="23" t="str">
        <f aca="false">IF(OR(U34="",V34=""),"",(1-U34/V34)*100)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14"/>
      <c r="I35" s="14"/>
      <c r="J35" s="14"/>
      <c r="K35" s="14"/>
      <c r="L35" s="23" t="str">
        <f aca="false">IF(OR(K35="",H35=""),"",K35/H35)</f>
        <v/>
      </c>
      <c r="M35" s="14"/>
      <c r="N35" s="14"/>
      <c r="O35" s="14"/>
      <c r="P35" s="14"/>
      <c r="Q35" s="14"/>
      <c r="R35" s="14"/>
      <c r="S35" s="14"/>
      <c r="T35" s="23" t="str">
        <f aca="false">IF(OR(Q35="",R35="",S35=""),"",(Q35-S35)/(R35-S35)*100)</f>
        <v/>
      </c>
      <c r="U35" s="14"/>
      <c r="V35" s="14"/>
      <c r="W35" s="23" t="str">
        <f aca="false">IF(OR(U35="",V35=""),"",U35/V35*100)</f>
        <v/>
      </c>
      <c r="X35" s="23" t="str">
        <f aca="false">IF(OR(U35="",V35=""),"",(1-U35/V35)*100)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14"/>
      <c r="I36" s="14"/>
      <c r="J36" s="14"/>
      <c r="K36" s="14"/>
      <c r="L36" s="23" t="str">
        <f aca="false">IF(OR(K36="",H36=""),"",K36/H36)</f>
        <v/>
      </c>
      <c r="M36" s="14"/>
      <c r="N36" s="14"/>
      <c r="O36" s="14"/>
      <c r="P36" s="14"/>
      <c r="Q36" s="14"/>
      <c r="R36" s="14"/>
      <c r="S36" s="14"/>
      <c r="T36" s="23" t="str">
        <f aca="false">IF(OR(Q36="",R36="",S36=""),"",(Q36-S36)/(R36-S36)*100)</f>
        <v/>
      </c>
      <c r="U36" s="14"/>
      <c r="V36" s="14"/>
      <c r="W36" s="23" t="str">
        <f aca="false">IF(OR(U36="",V36=""),"",U36/V36*100)</f>
        <v/>
      </c>
      <c r="X36" s="23" t="str">
        <f aca="false">IF(OR(U36="",V36=""),"",(1-U36/V36)*100)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14"/>
      <c r="I37" s="14"/>
      <c r="J37" s="14"/>
      <c r="K37" s="14"/>
      <c r="L37" s="23" t="str">
        <f aca="false">IF(OR(K37="",H37=""),"",K37/H37)</f>
        <v/>
      </c>
      <c r="M37" s="14"/>
      <c r="N37" s="14"/>
      <c r="O37" s="14"/>
      <c r="P37" s="14"/>
      <c r="Q37" s="14"/>
      <c r="R37" s="14"/>
      <c r="S37" s="14"/>
      <c r="T37" s="23" t="str">
        <f aca="false">IF(OR(Q37="",R37="",S37=""),"",(Q37-S37)/(R37-S37)*100)</f>
        <v/>
      </c>
      <c r="U37" s="14"/>
      <c r="V37" s="14"/>
      <c r="W37" s="23" t="str">
        <f aca="false">IF(OR(U37="",V37=""),"",U37/V37*100)</f>
        <v/>
      </c>
      <c r="X37" s="23" t="str">
        <f aca="false">IF(OR(U37="",V37=""),"",(1-U37/V37)*100)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14"/>
      <c r="I38" s="14"/>
      <c r="J38" s="14"/>
      <c r="K38" s="14"/>
      <c r="L38" s="23" t="str">
        <f aca="false">IF(OR(K38="",H38=""),"",K38/H38)</f>
        <v/>
      </c>
      <c r="M38" s="14"/>
      <c r="N38" s="14"/>
      <c r="O38" s="14"/>
      <c r="P38" s="14"/>
      <c r="Q38" s="14"/>
      <c r="R38" s="14"/>
      <c r="S38" s="14"/>
      <c r="T38" s="23" t="str">
        <f aca="false">IF(OR(Q38="",R38="",S38=""),"",(Q38-S38)/(R38-S38)*100)</f>
        <v/>
      </c>
      <c r="U38" s="14"/>
      <c r="V38" s="14"/>
      <c r="W38" s="23" t="str">
        <f aca="false">IF(OR(U38="",V38=""),"",U38/V38*100)</f>
        <v/>
      </c>
      <c r="X38" s="23" t="str">
        <f aca="false">IF(OR(U38="",V38=""),"",(1-U38/V38)*100)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14"/>
      <c r="I39" s="14"/>
      <c r="J39" s="14"/>
      <c r="K39" s="14"/>
      <c r="L39" s="23" t="str">
        <f aca="false">IF(OR(K39="",H39=""),"",K39/H39)</f>
        <v/>
      </c>
      <c r="M39" s="14"/>
      <c r="N39" s="14"/>
      <c r="O39" s="14"/>
      <c r="P39" s="14"/>
      <c r="Q39" s="14"/>
      <c r="R39" s="14"/>
      <c r="S39" s="14"/>
      <c r="T39" s="23" t="str">
        <f aca="false">IF(OR(Q39="",R39="",S39=""),"",(Q39-S39)/(R39-S39)*100)</f>
        <v/>
      </c>
      <c r="U39" s="14"/>
      <c r="V39" s="14"/>
      <c r="W39" s="23" t="str">
        <f aca="false">IF(OR(U39="",V39=""),"",U39/V39*100)</f>
        <v/>
      </c>
      <c r="X39" s="23" t="str">
        <f aca="false">IF(OR(U39="",V39=""),"",(1-U39/V39)*100)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14"/>
      <c r="I40" s="14"/>
      <c r="J40" s="14"/>
      <c r="K40" s="14"/>
      <c r="L40" s="23" t="str">
        <f aca="false">IF(OR(K40="",H40=""),"",K40/H40)</f>
        <v/>
      </c>
      <c r="M40" s="14"/>
      <c r="N40" s="14"/>
      <c r="O40" s="14"/>
      <c r="P40" s="14"/>
      <c r="Q40" s="14"/>
      <c r="R40" s="14"/>
      <c r="S40" s="14"/>
      <c r="T40" s="23" t="str">
        <f aca="false">IF(OR(Q40="",R40="",S40=""),"",(Q40-S40)/(R40-S40)*100)</f>
        <v/>
      </c>
      <c r="U40" s="14"/>
      <c r="V40" s="14"/>
      <c r="W40" s="23" t="str">
        <f aca="false">IF(OR(U40="",V40=""),"",U40/V40*100)</f>
        <v/>
      </c>
      <c r="X40" s="23" t="str">
        <f aca="false">IF(OR(U40="",V40=""),"",(1-U40/V40)*100)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14"/>
      <c r="I41" s="14"/>
      <c r="J41" s="14"/>
      <c r="K41" s="14"/>
      <c r="L41" s="23" t="str">
        <f aca="false">IF(OR(K41="",H41=""),"",K41/H41)</f>
        <v/>
      </c>
      <c r="M41" s="14"/>
      <c r="N41" s="14"/>
      <c r="O41" s="14"/>
      <c r="P41" s="14"/>
      <c r="Q41" s="14"/>
      <c r="R41" s="14"/>
      <c r="S41" s="14"/>
      <c r="T41" s="23" t="str">
        <f aca="false">IF(OR(Q41="",R41="",S41=""),"",(Q41-S41)/(R41-S41)*100)</f>
        <v/>
      </c>
      <c r="U41" s="14"/>
      <c r="V41" s="14"/>
      <c r="W41" s="23" t="str">
        <f aca="false">IF(OR(U41="",V41=""),"",U41/V41*100)</f>
        <v/>
      </c>
      <c r="X41" s="23" t="str">
        <f aca="false">IF(OR(U41="",V41=""),"",(1-U41/V41)*100)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14"/>
      <c r="I42" s="14"/>
      <c r="J42" s="14"/>
      <c r="K42" s="14"/>
      <c r="L42" s="23" t="str">
        <f aca="false">IF(OR(K42="",H42=""),"",K42/H42)</f>
        <v/>
      </c>
      <c r="M42" s="14"/>
      <c r="N42" s="14"/>
      <c r="O42" s="14"/>
      <c r="P42" s="14"/>
      <c r="Q42" s="14"/>
      <c r="R42" s="14"/>
      <c r="S42" s="14"/>
      <c r="T42" s="23" t="str">
        <f aca="false">IF(OR(Q42="",R42="",S42=""),"",(Q42-S42)/(R42-S42)*100)</f>
        <v/>
      </c>
      <c r="U42" s="14"/>
      <c r="V42" s="14"/>
      <c r="W42" s="23" t="str">
        <f aca="false">IF(OR(U42="",V42=""),"",U42/V42*100)</f>
        <v/>
      </c>
      <c r="X42" s="23" t="str">
        <f aca="false">IF(OR(U42="",V42=""),"",(1-U42/V42)*100)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14"/>
      <c r="I43" s="14"/>
      <c r="J43" s="14"/>
      <c r="K43" s="14"/>
      <c r="L43" s="23" t="str">
        <f aca="false">IF(OR(K43="",H43=""),"",K43/H43)</f>
        <v/>
      </c>
      <c r="M43" s="14"/>
      <c r="N43" s="14"/>
      <c r="O43" s="14"/>
      <c r="P43" s="14"/>
      <c r="Q43" s="14"/>
      <c r="R43" s="14"/>
      <c r="S43" s="14"/>
      <c r="T43" s="23" t="str">
        <f aca="false">IF(OR(Q43="",R43="",S43=""),"",(Q43-S43)/(R43-S43)*100)</f>
        <v/>
      </c>
      <c r="U43" s="14"/>
      <c r="V43" s="14"/>
      <c r="W43" s="23" t="str">
        <f aca="false">IF(OR(U43="",V43=""),"",U43/V43*100)</f>
        <v/>
      </c>
      <c r="X43" s="23" t="str">
        <f aca="false">IF(OR(U43="",V43=""),"",(1-U43/V43)*100)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14"/>
      <c r="I44" s="14"/>
      <c r="J44" s="14"/>
      <c r="K44" s="14"/>
      <c r="L44" s="23" t="str">
        <f aca="false">IF(OR(K44="",H44=""),"",K44/H44)</f>
        <v/>
      </c>
      <c r="M44" s="14"/>
      <c r="N44" s="14"/>
      <c r="O44" s="14"/>
      <c r="P44" s="14"/>
      <c r="Q44" s="14"/>
      <c r="R44" s="14"/>
      <c r="S44" s="14"/>
      <c r="T44" s="23" t="str">
        <f aca="false">IF(OR(Q44="",R44="",S44=""),"",(Q44-S44)/(R44-S44)*100)</f>
        <v/>
      </c>
      <c r="U44" s="14"/>
      <c r="V44" s="14"/>
      <c r="W44" s="23" t="str">
        <f aca="false">IF(OR(U44="",V44=""),"",U44/V44*100)</f>
        <v/>
      </c>
      <c r="X44" s="23" t="str">
        <f aca="false">IF(OR(U44="",V44=""),"",(1-U44/V44)*100)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14"/>
      <c r="I45" s="14"/>
      <c r="J45" s="14"/>
      <c r="K45" s="14"/>
      <c r="L45" s="23" t="str">
        <f aca="false">IF(OR(K45="",H45=""),"",K45/H45)</f>
        <v/>
      </c>
      <c r="M45" s="14"/>
      <c r="N45" s="14"/>
      <c r="O45" s="14"/>
      <c r="P45" s="14"/>
      <c r="Q45" s="14"/>
      <c r="R45" s="14"/>
      <c r="S45" s="14"/>
      <c r="T45" s="23" t="str">
        <f aca="false">IF(OR(Q45="",R45="",S45=""),"",(Q45-S45)/(R45-S45)*100)</f>
        <v/>
      </c>
      <c r="U45" s="14"/>
      <c r="V45" s="14"/>
      <c r="W45" s="23" t="str">
        <f aca="false">IF(OR(U45="",V45=""),"",U45/V45*100)</f>
        <v/>
      </c>
      <c r="X45" s="23" t="str">
        <f aca="false">IF(OR(U45="",V45=""),"",(1-U45/V45)*100)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14"/>
      <c r="I46" s="14"/>
      <c r="J46" s="14"/>
      <c r="K46" s="14"/>
      <c r="L46" s="23" t="str">
        <f aca="false">IF(OR(K46="",H46=""),"",K46/H46)</f>
        <v/>
      </c>
      <c r="M46" s="14"/>
      <c r="N46" s="14"/>
      <c r="O46" s="14"/>
      <c r="P46" s="14"/>
      <c r="Q46" s="14"/>
      <c r="R46" s="14"/>
      <c r="S46" s="14"/>
      <c r="T46" s="23" t="str">
        <f aca="false">IF(OR(Q46="",R46="",S46=""),"",(Q46-S46)/(R46-S46)*100)</f>
        <v/>
      </c>
      <c r="U46" s="14"/>
      <c r="V46" s="14"/>
      <c r="W46" s="23" t="str">
        <f aca="false">IF(OR(U46="",V46=""),"",U46/V46*100)</f>
        <v/>
      </c>
      <c r="X46" s="23" t="str">
        <f aca="false">IF(OR(U46="",V46=""),"",(1-U46/V46)*100)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14"/>
      <c r="I47" s="14"/>
      <c r="J47" s="14"/>
      <c r="K47" s="14"/>
      <c r="L47" s="23" t="str">
        <f aca="false">IF(OR(K47="",H47=""),"",K47/H47)</f>
        <v/>
      </c>
      <c r="M47" s="14"/>
      <c r="N47" s="14"/>
      <c r="O47" s="14"/>
      <c r="P47" s="14"/>
      <c r="Q47" s="14"/>
      <c r="R47" s="14"/>
      <c r="S47" s="14"/>
      <c r="T47" s="23" t="str">
        <f aca="false">IF(OR(Q47="",R47="",S47=""),"",(Q47-S47)/(R47-S47)*100)</f>
        <v/>
      </c>
      <c r="U47" s="14"/>
      <c r="V47" s="14"/>
      <c r="W47" s="23" t="str">
        <f aca="false">IF(OR(U47="",V47=""),"",U47/V47*100)</f>
        <v/>
      </c>
      <c r="X47" s="23" t="str">
        <f aca="false">IF(OR(U47="",V47=""),"",(1-U47/V47)*100)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14"/>
      <c r="I48" s="14"/>
      <c r="J48" s="14"/>
      <c r="K48" s="14"/>
      <c r="L48" s="23" t="str">
        <f aca="false">IF(OR(K48="",H48=""),"",K48/H48)</f>
        <v/>
      </c>
      <c r="M48" s="14"/>
      <c r="N48" s="14"/>
      <c r="O48" s="14"/>
      <c r="P48" s="14"/>
      <c r="Q48" s="14"/>
      <c r="R48" s="14"/>
      <c r="S48" s="14"/>
      <c r="T48" s="23" t="str">
        <f aca="false">IF(OR(Q48="",R48="",S48=""),"",(Q48-S48)/(R48-S48)*100)</f>
        <v/>
      </c>
      <c r="U48" s="14"/>
      <c r="V48" s="14"/>
      <c r="W48" s="23" t="str">
        <f aca="false">IF(OR(U48="",V48=""),"",U48/V48*100)</f>
        <v/>
      </c>
      <c r="X48" s="23" t="str">
        <f aca="false">IF(OR(U48="",V48=""),"",(1-U48/V48)*100)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14"/>
      <c r="I49" s="14"/>
      <c r="J49" s="14"/>
      <c r="K49" s="14"/>
      <c r="L49" s="23" t="str">
        <f aca="false">IF(OR(K49="",H49=""),"",K49/H49)</f>
        <v/>
      </c>
      <c r="M49" s="14"/>
      <c r="N49" s="14"/>
      <c r="O49" s="14"/>
      <c r="P49" s="14"/>
      <c r="Q49" s="14"/>
      <c r="R49" s="14"/>
      <c r="S49" s="14"/>
      <c r="T49" s="23" t="str">
        <f aca="false">IF(OR(Q49="",R49="",S49=""),"",(Q49-S49)/(R49-S49)*100)</f>
        <v/>
      </c>
      <c r="U49" s="14"/>
      <c r="V49" s="14"/>
      <c r="W49" s="23" t="str">
        <f aca="false">IF(OR(U49="",V49=""),"",U49/V49*100)</f>
        <v/>
      </c>
      <c r="X49" s="23" t="str">
        <f aca="false">IF(OR(U49="",V49=""),"",(1-U49/V49)*100)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14"/>
      <c r="I50" s="14"/>
      <c r="J50" s="14"/>
      <c r="K50" s="14"/>
      <c r="L50" s="23" t="str">
        <f aca="false">IF(OR(K50="",H50=""),"",K50/H50)</f>
        <v/>
      </c>
      <c r="M50" s="14"/>
      <c r="N50" s="14"/>
      <c r="O50" s="14"/>
      <c r="P50" s="14"/>
      <c r="Q50" s="14"/>
      <c r="R50" s="14"/>
      <c r="S50" s="14"/>
      <c r="T50" s="23" t="str">
        <f aca="false">IF(OR(Q50="",R50="",S50=""),"",(Q50-S50)/(R50-S50)*100)</f>
        <v/>
      </c>
      <c r="U50" s="14"/>
      <c r="V50" s="14"/>
      <c r="W50" s="23" t="str">
        <f aca="false">IF(OR(U50="",V50=""),"",U50/V50*100)</f>
        <v/>
      </c>
      <c r="X50" s="23" t="str">
        <f aca="false">IF(OR(U50="",V50=""),"",(1-U50/V50)*100)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14"/>
      <c r="I51" s="14"/>
      <c r="J51" s="14"/>
      <c r="K51" s="14"/>
      <c r="L51" s="23" t="str">
        <f aca="false">IF(OR(K51="",H51=""),"",K51/H51)</f>
        <v/>
      </c>
      <c r="M51" s="14"/>
      <c r="N51" s="14"/>
      <c r="O51" s="14"/>
      <c r="P51" s="14"/>
      <c r="Q51" s="14"/>
      <c r="R51" s="14"/>
      <c r="S51" s="14"/>
      <c r="T51" s="23" t="str">
        <f aca="false">IF(OR(Q51="",R51="",S51=""),"",(Q51-S51)/(R51-S51)*100)</f>
        <v/>
      </c>
      <c r="U51" s="14"/>
      <c r="V51" s="14"/>
      <c r="W51" s="23" t="str">
        <f aca="false">IF(OR(U51="",V51=""),"",U51/V51*100)</f>
        <v/>
      </c>
      <c r="X51" s="23" t="str">
        <f aca="false">IF(OR(U51="",V51=""),"",(1-U51/V51)*100)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14"/>
      <c r="I52" s="14"/>
      <c r="J52" s="14"/>
      <c r="K52" s="14"/>
      <c r="L52" s="23" t="str">
        <f aca="false">IF(OR(K52="",H52=""),"",K52/H52)</f>
        <v/>
      </c>
      <c r="M52" s="14"/>
      <c r="N52" s="14"/>
      <c r="O52" s="14"/>
      <c r="P52" s="14"/>
      <c r="Q52" s="14"/>
      <c r="R52" s="14"/>
      <c r="S52" s="14"/>
      <c r="T52" s="23" t="str">
        <f aca="false">IF(OR(Q52="",R52="",S52=""),"",(Q52-S52)/(R52-S52)*100)</f>
        <v/>
      </c>
      <c r="U52" s="14"/>
      <c r="V52" s="14"/>
      <c r="W52" s="23" t="str">
        <f aca="false">IF(OR(U52="",V52=""),"",U52/V52*100)</f>
        <v/>
      </c>
      <c r="X52" s="23" t="str">
        <f aca="false">IF(OR(U52="",V52=""),"",(1-U52/V52)*100)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14"/>
      <c r="I53" s="14"/>
      <c r="J53" s="14"/>
      <c r="K53" s="14"/>
      <c r="L53" s="23" t="str">
        <f aca="false">IF(OR(K53="",H53=""),"",K53/H53)</f>
        <v/>
      </c>
      <c r="M53" s="14"/>
      <c r="N53" s="14"/>
      <c r="O53" s="14"/>
      <c r="P53" s="14"/>
      <c r="Q53" s="14"/>
      <c r="R53" s="14"/>
      <c r="S53" s="14"/>
      <c r="T53" s="23" t="str">
        <f aca="false">IF(OR(Q53="",R53="",S53=""),"",(Q53-S53)/(R53-S53)*100)</f>
        <v/>
      </c>
      <c r="U53" s="14"/>
      <c r="V53" s="14"/>
      <c r="W53" s="23" t="str">
        <f aca="false">IF(OR(U53="",V53=""),"",U53/V53*100)</f>
        <v/>
      </c>
      <c r="X53" s="23" t="str">
        <f aca="false">IF(OR(U53="",V53=""),"",(1-U53/V53)*100)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14"/>
      <c r="I54" s="14"/>
      <c r="J54" s="14"/>
      <c r="K54" s="14"/>
      <c r="L54" s="23" t="str">
        <f aca="false">IF(OR(K54="",H54=""),"",K54/H54)</f>
        <v/>
      </c>
      <c r="M54" s="14"/>
      <c r="N54" s="14"/>
      <c r="O54" s="14"/>
      <c r="P54" s="14"/>
      <c r="Q54" s="14"/>
      <c r="R54" s="14"/>
      <c r="S54" s="14"/>
      <c r="T54" s="23" t="str">
        <f aca="false">IF(OR(Q54="",R54="",S54=""),"",(Q54-S54)/(R54-S54)*100)</f>
        <v/>
      </c>
      <c r="U54" s="14"/>
      <c r="V54" s="14"/>
      <c r="W54" s="23" t="str">
        <f aca="false">IF(OR(U54="",V54=""),"",U54/V54*100)</f>
        <v/>
      </c>
      <c r="X54" s="23" t="str">
        <f aca="false">IF(OR(U54="",V54=""),"",(1-U54/V54)*100)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14"/>
      <c r="I55" s="14"/>
      <c r="J55" s="14"/>
      <c r="K55" s="14"/>
      <c r="L55" s="23" t="str">
        <f aca="false">IF(OR(K55="",H55=""),"",K55/H55)</f>
        <v/>
      </c>
      <c r="M55" s="14"/>
      <c r="N55" s="14"/>
      <c r="O55" s="14"/>
      <c r="P55" s="14"/>
      <c r="Q55" s="14"/>
      <c r="R55" s="14"/>
      <c r="S55" s="14"/>
      <c r="T55" s="23" t="str">
        <f aca="false">IF(OR(Q55="",R55="",S55=""),"",(Q55-S55)/(R55-S55)*100)</f>
        <v/>
      </c>
      <c r="U55" s="14"/>
      <c r="V55" s="14"/>
      <c r="W55" s="23" t="str">
        <f aca="false">IF(OR(U55="",V55=""),"",U55/V55*100)</f>
        <v/>
      </c>
      <c r="X55" s="23" t="str">
        <f aca="false">IF(OR(U55="",V55=""),"",(1-U55/V55)*100)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14"/>
      <c r="I56" s="14"/>
      <c r="J56" s="14"/>
      <c r="K56" s="14"/>
      <c r="L56" s="23" t="str">
        <f aca="false">IF(OR(K56="",H56=""),"",K56/H56)</f>
        <v/>
      </c>
      <c r="M56" s="14"/>
      <c r="N56" s="14"/>
      <c r="O56" s="14"/>
      <c r="P56" s="14"/>
      <c r="Q56" s="14"/>
      <c r="R56" s="14"/>
      <c r="S56" s="14"/>
      <c r="T56" s="23" t="str">
        <f aca="false">IF(OR(Q56="",R56="",S56=""),"",(Q56-S56)/(R56-S56)*100)</f>
        <v/>
      </c>
      <c r="U56" s="14"/>
      <c r="V56" s="14"/>
      <c r="W56" s="23" t="str">
        <f aca="false">IF(OR(U56="",V56=""),"",U56/V56*100)</f>
        <v/>
      </c>
      <c r="X56" s="23" t="str">
        <f aca="false">IF(OR(U56="",V56=""),"",(1-U56/V56)*100)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14"/>
      <c r="I57" s="14"/>
      <c r="J57" s="14"/>
      <c r="K57" s="14"/>
      <c r="L57" s="23" t="str">
        <f aca="false">IF(OR(K57="",H57=""),"",K57/H57)</f>
        <v/>
      </c>
      <c r="M57" s="14"/>
      <c r="N57" s="14"/>
      <c r="O57" s="14"/>
      <c r="P57" s="14"/>
      <c r="Q57" s="14"/>
      <c r="R57" s="14"/>
      <c r="S57" s="14"/>
      <c r="T57" s="23" t="str">
        <f aca="false">IF(OR(Q57="",R57="",S57=""),"",(Q57-S57)/(R57-S57)*100)</f>
        <v/>
      </c>
      <c r="U57" s="14"/>
      <c r="V57" s="14"/>
      <c r="W57" s="23" t="str">
        <f aca="false">IF(OR(U57="",V57=""),"",U57/V57*100)</f>
        <v/>
      </c>
      <c r="X57" s="23" t="str">
        <f aca="false">IF(OR(U57="",V57=""),"",(1-U57/V57)*100)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14"/>
      <c r="I58" s="14"/>
      <c r="J58" s="14"/>
      <c r="K58" s="14"/>
      <c r="L58" s="23" t="str">
        <f aca="false">IF(OR(K58="",H58=""),"",K58/H58)</f>
        <v/>
      </c>
      <c r="M58" s="14"/>
      <c r="N58" s="14"/>
      <c r="O58" s="14"/>
      <c r="P58" s="14"/>
      <c r="Q58" s="14"/>
      <c r="R58" s="14"/>
      <c r="S58" s="14"/>
      <c r="T58" s="23" t="str">
        <f aca="false">IF(OR(Q58="",R58="",S58=""),"",(Q58-S58)/(R58-S58)*100)</f>
        <v/>
      </c>
      <c r="U58" s="14"/>
      <c r="V58" s="14"/>
      <c r="W58" s="23" t="str">
        <f aca="false">IF(OR(U58="",V58=""),"",U58/V58*100)</f>
        <v/>
      </c>
      <c r="X58" s="23" t="str">
        <f aca="false">IF(OR(U58="",V58=""),"",(1-U58/V58)*100)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14"/>
      <c r="I59" s="14"/>
      <c r="J59" s="14"/>
      <c r="K59" s="14"/>
      <c r="L59" s="23" t="str">
        <f aca="false">IF(OR(K59="",H59=""),"",K59/H59)</f>
        <v/>
      </c>
      <c r="M59" s="14"/>
      <c r="N59" s="14"/>
      <c r="O59" s="14"/>
      <c r="P59" s="14"/>
      <c r="Q59" s="14"/>
      <c r="R59" s="14"/>
      <c r="S59" s="14"/>
      <c r="T59" s="23" t="str">
        <f aca="false">IF(OR(Q59="",R59="",S59=""),"",(Q59-S59)/(R59-S59)*100)</f>
        <v/>
      </c>
      <c r="U59" s="14"/>
      <c r="V59" s="14"/>
      <c r="W59" s="23" t="str">
        <f aca="false">IF(OR(U59="",V59=""),"",U59/V59*100)</f>
        <v/>
      </c>
      <c r="X59" s="23" t="str">
        <f aca="false">IF(OR(U59="",V59=""),"",(1-U59/V59)*100)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14"/>
      <c r="I60" s="14"/>
      <c r="J60" s="14"/>
      <c r="K60" s="14"/>
      <c r="L60" s="23" t="str">
        <f aca="false">IF(OR(K60="",H60=""),"",K60/H60)</f>
        <v/>
      </c>
      <c r="M60" s="14"/>
      <c r="N60" s="14"/>
      <c r="O60" s="14"/>
      <c r="P60" s="14"/>
      <c r="Q60" s="14"/>
      <c r="R60" s="14"/>
      <c r="S60" s="14"/>
      <c r="T60" s="23" t="str">
        <f aca="false">IF(OR(Q60="",R60="",S60=""),"",(Q60-S60)/(R60-S60)*100)</f>
        <v/>
      </c>
      <c r="U60" s="14"/>
      <c r="V60" s="14"/>
      <c r="W60" s="23" t="str">
        <f aca="false">IF(OR(U60="",V60=""),"",U60/V60*100)</f>
        <v/>
      </c>
      <c r="X60" s="23" t="str">
        <f aca="false">IF(OR(U60="",V60=""),"",(1-U60/V60)*100)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14"/>
      <c r="I61" s="14"/>
      <c r="J61" s="14"/>
      <c r="K61" s="14"/>
      <c r="L61" s="23" t="str">
        <f aca="false">IF(OR(K61="",H61=""),"",K61/H61)</f>
        <v/>
      </c>
      <c r="M61" s="14"/>
      <c r="N61" s="14"/>
      <c r="O61" s="14"/>
      <c r="P61" s="14"/>
      <c r="Q61" s="14"/>
      <c r="R61" s="14"/>
      <c r="S61" s="14"/>
      <c r="T61" s="23" t="str">
        <f aca="false">IF(OR(Q61="",R61="",S61=""),"",(Q61-S61)/(R61-S61)*100)</f>
        <v/>
      </c>
      <c r="U61" s="14"/>
      <c r="V61" s="14"/>
      <c r="W61" s="23" t="str">
        <f aca="false">IF(OR(U61="",V61=""),"",U61/V61*100)</f>
        <v/>
      </c>
      <c r="X61" s="23" t="str">
        <f aca="false">IF(OR(U61="",V61=""),"",(1-U61/V61)*100)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14"/>
      <c r="I62" s="14"/>
      <c r="J62" s="14"/>
      <c r="K62" s="14"/>
      <c r="L62" s="23" t="str">
        <f aca="false">IF(OR(K62="",H62=""),"",K62/H62)</f>
        <v/>
      </c>
      <c r="M62" s="14"/>
      <c r="N62" s="14"/>
      <c r="O62" s="14"/>
      <c r="P62" s="14"/>
      <c r="Q62" s="14"/>
      <c r="R62" s="14"/>
      <c r="S62" s="14"/>
      <c r="T62" s="23" t="str">
        <f aca="false">IF(OR(Q62="",R62="",S62=""),"",(Q62-S62)/(R62-S62)*100)</f>
        <v/>
      </c>
      <c r="U62" s="14"/>
      <c r="V62" s="14"/>
      <c r="W62" s="23" t="str">
        <f aca="false">IF(OR(U62="",V62=""),"",U62/V62*100)</f>
        <v/>
      </c>
      <c r="X62" s="23" t="str">
        <f aca="false">IF(OR(U62="",V62=""),"",(1-U62/V62)*100)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14"/>
      <c r="I63" s="14"/>
      <c r="J63" s="14"/>
      <c r="K63" s="14"/>
      <c r="L63" s="23" t="str">
        <f aca="false">IF(OR(K63="",H63=""),"",K63/H63)</f>
        <v/>
      </c>
      <c r="M63" s="14"/>
      <c r="N63" s="14"/>
      <c r="O63" s="14"/>
      <c r="P63" s="14"/>
      <c r="Q63" s="14"/>
      <c r="R63" s="14"/>
      <c r="S63" s="14"/>
      <c r="T63" s="23" t="str">
        <f aca="false">IF(OR(Q63="",R63="",S63=""),"",(Q63-S63)/(R63-S63)*100)</f>
        <v/>
      </c>
      <c r="U63" s="14"/>
      <c r="V63" s="14"/>
      <c r="W63" s="23" t="str">
        <f aca="false">IF(OR(U63="",V63=""),"",U63/V63*100)</f>
        <v/>
      </c>
      <c r="X63" s="23" t="str">
        <f aca="false">IF(OR(U63="",V63=""),"",(1-U63/V63)*100)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14"/>
      <c r="I64" s="14"/>
      <c r="J64" s="14"/>
      <c r="K64" s="14"/>
      <c r="L64" s="23" t="str">
        <f aca="false">IF(OR(K64="",H64=""),"",K64/H64)</f>
        <v/>
      </c>
      <c r="M64" s="14"/>
      <c r="N64" s="14"/>
      <c r="O64" s="14"/>
      <c r="P64" s="14"/>
      <c r="Q64" s="14"/>
      <c r="R64" s="14"/>
      <c r="S64" s="14"/>
      <c r="T64" s="23" t="str">
        <f aca="false">IF(OR(Q64="",R64="",S64=""),"",(Q64-S64)/(R64-S64)*100)</f>
        <v/>
      </c>
      <c r="U64" s="14"/>
      <c r="V64" s="14"/>
      <c r="W64" s="23" t="str">
        <f aca="false">IF(OR(U64="",V64=""),"",U64/V64*100)</f>
        <v/>
      </c>
      <c r="X64" s="23" t="str">
        <f aca="false">IF(OR(U64="",V64=""),"",(1-U64/V64)*100)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14"/>
      <c r="I65" s="14"/>
      <c r="J65" s="14"/>
      <c r="K65" s="14"/>
      <c r="L65" s="23" t="str">
        <f aca="false">IF(OR(K65="",H65=""),"",K65/H65)</f>
        <v/>
      </c>
      <c r="M65" s="14"/>
      <c r="N65" s="14"/>
      <c r="O65" s="14"/>
      <c r="P65" s="14"/>
      <c r="Q65" s="14"/>
      <c r="R65" s="14"/>
      <c r="S65" s="14"/>
      <c r="T65" s="23" t="str">
        <f aca="false">IF(OR(Q65="",R65="",S65=""),"",(Q65-S65)/(R65-S65)*100)</f>
        <v/>
      </c>
      <c r="U65" s="14"/>
      <c r="V65" s="14"/>
      <c r="W65" s="23" t="str">
        <f aca="false">IF(OR(U65="",V65=""),"",U65/V65*100)</f>
        <v/>
      </c>
      <c r="X65" s="23" t="str">
        <f aca="false">IF(OR(U65="",V65=""),"",(1-U65/V65)*100)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14"/>
      <c r="I66" s="14"/>
      <c r="J66" s="14"/>
      <c r="K66" s="14"/>
      <c r="L66" s="23" t="str">
        <f aca="false">IF(OR(K66="",H66=""),"",K66/H66)</f>
        <v/>
      </c>
      <c r="M66" s="14"/>
      <c r="N66" s="14"/>
      <c r="O66" s="14"/>
      <c r="P66" s="14"/>
      <c r="Q66" s="14"/>
      <c r="R66" s="14"/>
      <c r="S66" s="14"/>
      <c r="T66" s="23" t="str">
        <f aca="false">IF(OR(Q66="",R66="",S66=""),"",(Q66-S66)/(R66-S66)*100)</f>
        <v/>
      </c>
      <c r="U66" s="14"/>
      <c r="V66" s="14"/>
      <c r="W66" s="23" t="str">
        <f aca="false">IF(OR(U66="",V66=""),"",U66/V66*100)</f>
        <v/>
      </c>
      <c r="X66" s="23" t="str">
        <f aca="false">IF(OR(U66="",V66=""),"",(1-U66/V66)*100)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14"/>
      <c r="I67" s="14"/>
      <c r="J67" s="14"/>
      <c r="K67" s="14"/>
      <c r="L67" s="23" t="str">
        <f aca="false">IF(OR(K67="",H67=""),"",K67/H67)</f>
        <v/>
      </c>
      <c r="M67" s="14"/>
      <c r="N67" s="14"/>
      <c r="O67" s="14"/>
      <c r="P67" s="14"/>
      <c r="Q67" s="14"/>
      <c r="R67" s="14"/>
      <c r="S67" s="14"/>
      <c r="T67" s="23" t="str">
        <f aca="false">IF(OR(Q67="",R67="",S67=""),"",(Q67-S67)/(R67-S67)*100)</f>
        <v/>
      </c>
      <c r="U67" s="14"/>
      <c r="V67" s="14"/>
      <c r="W67" s="23" t="str">
        <f aca="false">IF(OR(U67="",V67=""),"",U67/V67*100)</f>
        <v/>
      </c>
      <c r="X67" s="23" t="str">
        <f aca="false">IF(OR(U67="",V67=""),"",(1-U67/V67)*100)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14"/>
      <c r="I68" s="14"/>
      <c r="J68" s="14"/>
      <c r="K68" s="14"/>
      <c r="L68" s="23" t="str">
        <f aca="false">IF(OR(K68="",H68=""),"",K68/H68)</f>
        <v/>
      </c>
      <c r="M68" s="14"/>
      <c r="N68" s="14"/>
      <c r="O68" s="14"/>
      <c r="P68" s="14"/>
      <c r="Q68" s="14"/>
      <c r="R68" s="14"/>
      <c r="S68" s="14"/>
      <c r="T68" s="23" t="str">
        <f aca="false">IF(OR(Q68="",R68="",S68=""),"",(Q68-S68)/(R68-S68)*100)</f>
        <v/>
      </c>
      <c r="U68" s="14"/>
      <c r="V68" s="14"/>
      <c r="W68" s="23" t="str">
        <f aca="false">IF(OR(U68="",V68=""),"",U68/V68*100)</f>
        <v/>
      </c>
      <c r="X68" s="23" t="str">
        <f aca="false">IF(OR(U68="",V68=""),"",(1-U68/V68)*100)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14"/>
      <c r="I69" s="14"/>
      <c r="J69" s="14"/>
      <c r="K69" s="14"/>
      <c r="L69" s="23" t="str">
        <f aca="false">IF(OR(K69="",H69=""),"",K69/H69)</f>
        <v/>
      </c>
      <c r="M69" s="14"/>
      <c r="N69" s="14"/>
      <c r="O69" s="14"/>
      <c r="P69" s="14"/>
      <c r="Q69" s="14"/>
      <c r="R69" s="14"/>
      <c r="S69" s="14"/>
      <c r="T69" s="23" t="str">
        <f aca="false">IF(OR(Q69="",R69="",S69=""),"",(Q69-S69)/(R69-S69)*100)</f>
        <v/>
      </c>
      <c r="U69" s="14"/>
      <c r="V69" s="14"/>
      <c r="W69" s="23" t="str">
        <f aca="false">IF(OR(U69="",V69=""),"",U69/V69*100)</f>
        <v/>
      </c>
      <c r="X69" s="23" t="str">
        <f aca="false">IF(OR(U69="",V69=""),"",(1-U69/V69)*100)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14"/>
      <c r="I70" s="14"/>
      <c r="J70" s="14"/>
      <c r="K70" s="14"/>
      <c r="L70" s="23" t="str">
        <f aca="false">IF(OR(K70="",H70=""),"",K70/H70)</f>
        <v/>
      </c>
      <c r="M70" s="14"/>
      <c r="N70" s="14"/>
      <c r="O70" s="14"/>
      <c r="P70" s="14"/>
      <c r="Q70" s="14"/>
      <c r="R70" s="14"/>
      <c r="S70" s="14"/>
      <c r="T70" s="23" t="str">
        <f aca="false">IF(OR(Q70="",R70="",S70=""),"",(Q70-S70)/(R70-S70)*100)</f>
        <v/>
      </c>
      <c r="U70" s="14"/>
      <c r="V70" s="14"/>
      <c r="W70" s="23" t="str">
        <f aca="false">IF(OR(U70="",V70=""),"",U70/V70*100)</f>
        <v/>
      </c>
      <c r="X70" s="23" t="str">
        <f aca="false">IF(OR(U70="",V70=""),"",(1-U70/V70)*100)</f>
        <v/>
      </c>
    </row>
  </sheetData>
  <mergeCells count="5">
    <mergeCell ref="A4:E4"/>
    <mergeCell ref="F4:H4"/>
    <mergeCell ref="I4:P4"/>
    <mergeCell ref="Q4:T4"/>
    <mergeCell ref="U4:X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10" style="0" width="16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24" t="s">
        <v>274</v>
      </c>
      <c r="B4" s="24"/>
      <c r="D4" s="24" t="s">
        <v>275</v>
      </c>
      <c r="E4" s="24"/>
      <c r="G4" s="24" t="s">
        <v>276</v>
      </c>
      <c r="H4" s="24"/>
      <c r="J4" s="24" t="s">
        <v>277</v>
      </c>
      <c r="K4" s="24"/>
    </row>
    <row r="5" customFormat="false" ht="15" hidden="false" customHeight="false" outlineLevel="0" collapsed="false">
      <c r="A5" s="3" t="s">
        <v>278</v>
      </c>
      <c r="B5" s="3" t="s">
        <v>279</v>
      </c>
      <c r="D5" s="3" t="s">
        <v>278</v>
      </c>
      <c r="E5" s="3" t="s">
        <v>279</v>
      </c>
      <c r="G5" s="3" t="s">
        <v>278</v>
      </c>
      <c r="H5" s="3" t="s">
        <v>279</v>
      </c>
      <c r="J5" s="3" t="s">
        <v>278</v>
      </c>
      <c r="K5" s="3" t="s">
        <v>279</v>
      </c>
    </row>
    <row r="6" customFormat="false" ht="15" hidden="false" customHeight="false" outlineLevel="0" collapsed="false">
      <c r="A6" s="25" t="n">
        <v>0</v>
      </c>
      <c r="B6" s="26"/>
      <c r="D6" s="25" t="n">
        <v>0</v>
      </c>
      <c r="E6" s="26"/>
      <c r="G6" s="25" t="n">
        <v>0</v>
      </c>
      <c r="H6" s="26"/>
      <c r="J6" s="25" t="n">
        <v>0</v>
      </c>
      <c r="K6" s="26"/>
    </row>
    <row r="7" customFormat="false" ht="15" hidden="false" customHeight="false" outlineLevel="0" collapsed="false">
      <c r="A7" s="25" t="n">
        <v>5</v>
      </c>
      <c r="B7" s="26"/>
      <c r="D7" s="25" t="n">
        <v>0.1</v>
      </c>
      <c r="E7" s="26"/>
      <c r="G7" s="25" t="n">
        <v>40</v>
      </c>
      <c r="H7" s="26"/>
      <c r="J7" s="25" t="n">
        <v>20</v>
      </c>
      <c r="K7" s="26"/>
    </row>
    <row r="8" customFormat="false" ht="15" hidden="false" customHeight="false" outlineLevel="0" collapsed="false">
      <c r="A8" s="25" t="n">
        <v>10</v>
      </c>
      <c r="B8" s="26"/>
      <c r="D8" s="25" t="n">
        <v>0.2</v>
      </c>
      <c r="E8" s="26"/>
      <c r="G8" s="25" t="n">
        <v>80</v>
      </c>
      <c r="H8" s="26"/>
      <c r="J8" s="25" t="n">
        <v>40</v>
      </c>
      <c r="K8" s="26"/>
    </row>
    <row r="9" customFormat="false" ht="15" hidden="false" customHeight="false" outlineLevel="0" collapsed="false">
      <c r="A9" s="25" t="n">
        <v>20</v>
      </c>
      <c r="B9" s="26"/>
      <c r="D9" s="25" t="n">
        <v>0.4</v>
      </c>
      <c r="E9" s="26"/>
      <c r="G9" s="25" t="n">
        <v>120</v>
      </c>
      <c r="H9" s="26"/>
      <c r="J9" s="25" t="n">
        <v>60</v>
      </c>
      <c r="K9" s="26"/>
    </row>
    <row r="10" customFormat="false" ht="15" hidden="false" customHeight="false" outlineLevel="0" collapsed="false">
      <c r="A10" s="25" t="n">
        <v>30</v>
      </c>
      <c r="B10" s="26"/>
      <c r="D10" s="25" t="n">
        <v>0.6</v>
      </c>
      <c r="E10" s="26"/>
      <c r="G10" s="25" t="n">
        <v>160</v>
      </c>
      <c r="H10" s="26"/>
      <c r="J10" s="25" t="n">
        <v>80</v>
      </c>
      <c r="K10" s="26"/>
    </row>
    <row r="11" customFormat="false" ht="15" hidden="false" customHeight="false" outlineLevel="0" collapsed="false">
      <c r="A11" s="25" t="n">
        <v>40</v>
      </c>
      <c r="B11" s="26"/>
      <c r="D11" s="25" t="n">
        <v>0.8</v>
      </c>
      <c r="E11" s="26"/>
      <c r="G11" s="25" t="n">
        <v>200</v>
      </c>
      <c r="H11" s="26"/>
      <c r="J11" s="25" t="n">
        <v>100</v>
      </c>
      <c r="K11" s="26"/>
    </row>
    <row r="13" customFormat="false" ht="15" hidden="false" customHeight="false" outlineLevel="0" collapsed="false">
      <c r="A13" s="3" t="s">
        <v>280</v>
      </c>
      <c r="B13" s="27" t="str">
        <f aca="false">IFERROR(SLOPE(B6:B11,A6:A11),"")</f>
        <v/>
      </c>
      <c r="D13" s="3" t="s">
        <v>280</v>
      </c>
      <c r="E13" s="27" t="str">
        <f aca="false">IFERROR(SLOPE(E6:E11,D6:D11),"")</f>
        <v/>
      </c>
      <c r="G13" s="3" t="s">
        <v>280</v>
      </c>
      <c r="H13" s="27" t="str">
        <f aca="false">IFERROR(SLOPE(H6:H11,G6:G11),"")</f>
        <v/>
      </c>
      <c r="J13" s="3" t="s">
        <v>280</v>
      </c>
      <c r="K13" s="27" t="str">
        <f aca="false">IFERROR(SLOPE(K6:K11,J6:J11),"")</f>
        <v/>
      </c>
    </row>
    <row r="14" customFormat="false" ht="15" hidden="false" customHeight="false" outlineLevel="0" collapsed="false">
      <c r="A14" s="3" t="s">
        <v>281</v>
      </c>
      <c r="B14" s="27" t="str">
        <f aca="false">IFERROR(INTERCEPT(B6:B11,A6:A11),"")</f>
        <v/>
      </c>
      <c r="D14" s="3" t="s">
        <v>281</v>
      </c>
      <c r="E14" s="27" t="str">
        <f aca="false">IFERROR(INTERCEPT(E6:E11,D6:D11),"")</f>
        <v/>
      </c>
      <c r="G14" s="3" t="s">
        <v>281</v>
      </c>
      <c r="H14" s="27" t="str">
        <f aca="false">IFERROR(INTERCEPT(H6:H11,G6:G11),"")</f>
        <v/>
      </c>
      <c r="J14" s="3" t="s">
        <v>281</v>
      </c>
      <c r="K14" s="27" t="str">
        <f aca="false">IFERROR(INTERCEPT(K6:K11,J6:J11),"")</f>
        <v/>
      </c>
    </row>
    <row r="15" customFormat="false" ht="15" hidden="false" customHeight="false" outlineLevel="0" collapsed="false">
      <c r="A15" s="3" t="s">
        <v>282</v>
      </c>
      <c r="B15" s="27" t="str">
        <f aca="false">IFERROR(RSQ(B6:B11,A6:A11),"")</f>
        <v/>
      </c>
      <c r="D15" s="3" t="s">
        <v>282</v>
      </c>
      <c r="E15" s="27" t="str">
        <f aca="false">IFERROR(RSQ(E6:E11,D6:D11),"")</f>
        <v/>
      </c>
      <c r="G15" s="3" t="s">
        <v>282</v>
      </c>
      <c r="H15" s="27" t="str">
        <f aca="false">IFERROR(RSQ(H6:H11,G6:G11),"")</f>
        <v/>
      </c>
      <c r="J15" s="3" t="s">
        <v>282</v>
      </c>
      <c r="K15" s="27" t="str">
        <f aca="false">IFERROR(RSQ(K6:K11,J6:J11),"")</f>
        <v/>
      </c>
    </row>
    <row r="17" customFormat="false" ht="15" hidden="false" customHeight="false" outlineLevel="0" collapsed="false">
      <c r="A17" s="11" t="s">
        <v>283</v>
      </c>
    </row>
  </sheetData>
  <mergeCells count="4">
    <mergeCell ref="A4:B4"/>
    <mergeCell ref="D4:E4"/>
    <mergeCell ref="G4:H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8" min="3" style="0" width="12"/>
  </cols>
  <sheetData>
    <row r="1" customFormat="false" ht="16.1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286</v>
      </c>
      <c r="G4" s="16"/>
      <c r="H4" s="16" t="s">
        <v>279</v>
      </c>
      <c r="I4" s="16"/>
      <c r="J4" s="16"/>
      <c r="K4" s="16" t="s">
        <v>287</v>
      </c>
      <c r="L4" s="16"/>
      <c r="M4" s="16"/>
      <c r="N4" s="16" t="s">
        <v>288</v>
      </c>
      <c r="O4" s="16"/>
      <c r="P4" s="16"/>
      <c r="Q4" s="16"/>
      <c r="R4" s="16"/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289</v>
      </c>
      <c r="G5" s="18" t="s">
        <v>290</v>
      </c>
      <c r="H5" s="18" t="s">
        <v>291</v>
      </c>
      <c r="I5" s="18" t="s">
        <v>292</v>
      </c>
      <c r="J5" s="18" t="s">
        <v>293</v>
      </c>
      <c r="K5" s="18" t="s">
        <v>294</v>
      </c>
      <c r="L5" s="18" t="s">
        <v>295</v>
      </c>
      <c r="M5" s="18" t="s">
        <v>296</v>
      </c>
      <c r="N5" s="18" t="s">
        <v>297</v>
      </c>
      <c r="O5" s="18" t="s">
        <v>298</v>
      </c>
      <c r="P5" s="18" t="s">
        <v>299</v>
      </c>
      <c r="Q5" s="18" t="s">
        <v>300</v>
      </c>
      <c r="R5" s="18" t="s">
        <v>301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0.1</v>
      </c>
      <c r="G6" s="21" t="n">
        <v>5</v>
      </c>
      <c r="H6" s="21" t="n">
        <v>0.652</v>
      </c>
      <c r="I6" s="21" t="n">
        <v>0.248</v>
      </c>
      <c r="J6" s="21" t="n">
        <v>0.41</v>
      </c>
      <c r="K6" s="22" t="n">
        <f aca="false">IF(OR(H6="",I6=""),"",12.7*H6-2.69*I6)</f>
        <v>7.61328</v>
      </c>
      <c r="L6" s="22" t="n">
        <f aca="false">IF(OR(H6="",I6=""),"",22.9*I6-4.68*H6)</f>
        <v>2.62784</v>
      </c>
      <c r="M6" s="22" t="n">
        <f aca="false">IF(OR(J6="",H6="",I6=""),"",(1000*J6-1.29*K6-53.78*L6)/220)</f>
        <v>1.17660742545455</v>
      </c>
      <c r="N6" s="22" t="n">
        <f aca="false">IF(OR(K6="",F6="",G6=""),"",K6*G6/(1000*F6))</f>
        <v>0.380664</v>
      </c>
      <c r="O6" s="22" t="n">
        <f aca="false">IF(OR(L6="",F6="",G6=""),"",L6*G6/(1000*F6))</f>
        <v>0.131392</v>
      </c>
      <c r="P6" s="22" t="n">
        <f aca="false">IF(OR(N6="",O6=""),"",N6+O6)</f>
        <v>0.512056</v>
      </c>
      <c r="Q6" s="22" t="n">
        <f aca="false">IF(OR(M6=""),"",M6*G6/(1000*F6))</f>
        <v>0.0588303712727273</v>
      </c>
      <c r="R6" s="22" t="n">
        <f aca="false">IF(OR(N6="",O6=""),"",N6/O6)</f>
        <v>2.89716268874817</v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14"/>
      <c r="I7" s="14"/>
      <c r="J7" s="14"/>
      <c r="K7" s="23" t="str">
        <f aca="false">IF(OR(H7="",I7=""),"",12.7*H7-2.69*I7)</f>
        <v/>
      </c>
      <c r="L7" s="23" t="str">
        <f aca="false">IF(OR(H7="",I7=""),"",22.9*I7-4.68*H7)</f>
        <v/>
      </c>
      <c r="M7" s="23" t="str">
        <f aca="false">IF(OR(J7="",H7="",I7=""),"",(1000*J7-1.29*K7-53.78*L7)/220)</f>
        <v/>
      </c>
      <c r="N7" s="23" t="str">
        <f aca="false">IF(OR(K7="",F7="",G7=""),"",K7*G7/(1000*F7))</f>
        <v/>
      </c>
      <c r="O7" s="23" t="str">
        <f aca="false">IF(OR(L7="",F7="",G7=""),"",L7*G7/(1000*F7))</f>
        <v/>
      </c>
      <c r="P7" s="23" t="str">
        <f aca="false">IF(OR(N7="",O7=""),"",N7+O7)</f>
        <v/>
      </c>
      <c r="Q7" s="23" t="str">
        <f aca="false">IF(OR(M7=""),"",M7*G7/(1000*F7))</f>
        <v/>
      </c>
      <c r="R7" s="23" t="str">
        <f aca="false">IF(OR(N7="",O7=""),"",N7/O7)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14"/>
      <c r="I8" s="14"/>
      <c r="J8" s="14"/>
      <c r="K8" s="23" t="str">
        <f aca="false">IF(OR(H8="",I8=""),"",12.7*H8-2.69*I8)</f>
        <v/>
      </c>
      <c r="L8" s="23" t="str">
        <f aca="false">IF(OR(H8="",I8=""),"",22.9*I8-4.68*H8)</f>
        <v/>
      </c>
      <c r="M8" s="23" t="str">
        <f aca="false">IF(OR(J8="",H8="",I8=""),"",(1000*J8-1.29*K8-53.78*L8)/220)</f>
        <v/>
      </c>
      <c r="N8" s="23" t="str">
        <f aca="false">IF(OR(K8="",F8="",G8=""),"",K8*G8/(1000*F8))</f>
        <v/>
      </c>
      <c r="O8" s="23" t="str">
        <f aca="false">IF(OR(L8="",F8="",G8=""),"",L8*G8/(1000*F8))</f>
        <v/>
      </c>
      <c r="P8" s="23" t="str">
        <f aca="false">IF(OR(N8="",O8=""),"",N8+O8)</f>
        <v/>
      </c>
      <c r="Q8" s="23" t="str">
        <f aca="false">IF(OR(M8=""),"",M8*G8/(1000*F8))</f>
        <v/>
      </c>
      <c r="R8" s="23" t="str">
        <f aca="false">IF(OR(N8="",O8=""),"",N8/O8)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14"/>
      <c r="I9" s="14"/>
      <c r="J9" s="14"/>
      <c r="K9" s="23" t="str">
        <f aca="false">IF(OR(H9="",I9=""),"",12.7*H9-2.69*I9)</f>
        <v/>
      </c>
      <c r="L9" s="23" t="str">
        <f aca="false">IF(OR(H9="",I9=""),"",22.9*I9-4.68*H9)</f>
        <v/>
      </c>
      <c r="M9" s="23" t="str">
        <f aca="false">IF(OR(J9="",H9="",I9=""),"",(1000*J9-1.29*K9-53.78*L9)/220)</f>
        <v/>
      </c>
      <c r="N9" s="23" t="str">
        <f aca="false">IF(OR(K9="",F9="",G9=""),"",K9*G9/(1000*F9))</f>
        <v/>
      </c>
      <c r="O9" s="23" t="str">
        <f aca="false">IF(OR(L9="",F9="",G9=""),"",L9*G9/(1000*F9))</f>
        <v/>
      </c>
      <c r="P9" s="23" t="str">
        <f aca="false">IF(OR(N9="",O9=""),"",N9+O9)</f>
        <v/>
      </c>
      <c r="Q9" s="23" t="str">
        <f aca="false">IF(OR(M9=""),"",M9*G9/(1000*F9))</f>
        <v/>
      </c>
      <c r="R9" s="23" t="str">
        <f aca="false">IF(OR(N9="",O9=""),"",N9/O9)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14"/>
      <c r="I10" s="14"/>
      <c r="J10" s="14"/>
      <c r="K10" s="23" t="str">
        <f aca="false">IF(OR(H10="",I10=""),"",12.7*H10-2.69*I10)</f>
        <v/>
      </c>
      <c r="L10" s="23" t="str">
        <f aca="false">IF(OR(H10="",I10=""),"",22.9*I10-4.68*H10)</f>
        <v/>
      </c>
      <c r="M10" s="23" t="str">
        <f aca="false">IF(OR(J10="",H10="",I10=""),"",(1000*J10-1.29*K10-53.78*L10)/220)</f>
        <v/>
      </c>
      <c r="N10" s="23" t="str">
        <f aca="false">IF(OR(K10="",F10="",G10=""),"",K10*G10/(1000*F10))</f>
        <v/>
      </c>
      <c r="O10" s="23" t="str">
        <f aca="false">IF(OR(L10="",F10="",G10=""),"",L10*G10/(1000*F10))</f>
        <v/>
      </c>
      <c r="P10" s="23" t="str">
        <f aca="false">IF(OR(N10="",O10=""),"",N10+O10)</f>
        <v/>
      </c>
      <c r="Q10" s="23" t="str">
        <f aca="false">IF(OR(M10=""),"",M10*G10/(1000*F10))</f>
        <v/>
      </c>
      <c r="R10" s="23" t="str">
        <f aca="false">IF(OR(N10="",O10=""),"",N10/O10)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14"/>
      <c r="I11" s="14"/>
      <c r="J11" s="14"/>
      <c r="K11" s="23" t="str">
        <f aca="false">IF(OR(H11="",I11=""),"",12.7*H11-2.69*I11)</f>
        <v/>
      </c>
      <c r="L11" s="23" t="str">
        <f aca="false">IF(OR(H11="",I11=""),"",22.9*I11-4.68*H11)</f>
        <v/>
      </c>
      <c r="M11" s="23" t="str">
        <f aca="false">IF(OR(J11="",H11="",I11=""),"",(1000*J11-1.29*K11-53.78*L11)/220)</f>
        <v/>
      </c>
      <c r="N11" s="23" t="str">
        <f aca="false">IF(OR(K11="",F11="",G11=""),"",K11*G11/(1000*F11))</f>
        <v/>
      </c>
      <c r="O11" s="23" t="str">
        <f aca="false">IF(OR(L11="",F11="",G11=""),"",L11*G11/(1000*F11))</f>
        <v/>
      </c>
      <c r="P11" s="23" t="str">
        <f aca="false">IF(OR(N11="",O11=""),"",N11+O11)</f>
        <v/>
      </c>
      <c r="Q11" s="23" t="str">
        <f aca="false">IF(OR(M11=""),"",M11*G11/(1000*F11))</f>
        <v/>
      </c>
      <c r="R11" s="23" t="str">
        <f aca="false">IF(OR(N11="",O11=""),"",N11/O11)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14"/>
      <c r="I12" s="14"/>
      <c r="J12" s="14"/>
      <c r="K12" s="23" t="str">
        <f aca="false">IF(OR(H12="",I12=""),"",12.7*H12-2.69*I12)</f>
        <v/>
      </c>
      <c r="L12" s="23" t="str">
        <f aca="false">IF(OR(H12="",I12=""),"",22.9*I12-4.68*H12)</f>
        <v/>
      </c>
      <c r="M12" s="23" t="str">
        <f aca="false">IF(OR(J12="",H12="",I12=""),"",(1000*J12-1.29*K12-53.78*L12)/220)</f>
        <v/>
      </c>
      <c r="N12" s="23" t="str">
        <f aca="false">IF(OR(K12="",F12="",G12=""),"",K12*G12/(1000*F12))</f>
        <v/>
      </c>
      <c r="O12" s="23" t="str">
        <f aca="false">IF(OR(L12="",F12="",G12=""),"",L12*G12/(1000*F12))</f>
        <v/>
      </c>
      <c r="P12" s="23" t="str">
        <f aca="false">IF(OR(N12="",O12=""),"",N12+O12)</f>
        <v/>
      </c>
      <c r="Q12" s="23" t="str">
        <f aca="false">IF(OR(M12=""),"",M12*G12/(1000*F12))</f>
        <v/>
      </c>
      <c r="R12" s="23" t="str">
        <f aca="false">IF(OR(N12="",O12=""),"",N12/O12)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14"/>
      <c r="I13" s="14"/>
      <c r="J13" s="14"/>
      <c r="K13" s="23" t="str">
        <f aca="false">IF(OR(H13="",I13=""),"",12.7*H13-2.69*I13)</f>
        <v/>
      </c>
      <c r="L13" s="23" t="str">
        <f aca="false">IF(OR(H13="",I13=""),"",22.9*I13-4.68*H13)</f>
        <v/>
      </c>
      <c r="M13" s="23" t="str">
        <f aca="false">IF(OR(J13="",H13="",I13=""),"",(1000*J13-1.29*K13-53.78*L13)/220)</f>
        <v/>
      </c>
      <c r="N13" s="23" t="str">
        <f aca="false">IF(OR(K13="",F13="",G13=""),"",K13*G13/(1000*F13))</f>
        <v/>
      </c>
      <c r="O13" s="23" t="str">
        <f aca="false">IF(OR(L13="",F13="",G13=""),"",L13*G13/(1000*F13))</f>
        <v/>
      </c>
      <c r="P13" s="23" t="str">
        <f aca="false">IF(OR(N13="",O13=""),"",N13+O13)</f>
        <v/>
      </c>
      <c r="Q13" s="23" t="str">
        <f aca="false">IF(OR(M13=""),"",M13*G13/(1000*F13))</f>
        <v/>
      </c>
      <c r="R13" s="23" t="str">
        <f aca="false">IF(OR(N13="",O13=""),"",N13/O13)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14"/>
      <c r="I14" s="14"/>
      <c r="J14" s="14"/>
      <c r="K14" s="23" t="str">
        <f aca="false">IF(OR(H14="",I14=""),"",12.7*H14-2.69*I14)</f>
        <v/>
      </c>
      <c r="L14" s="23" t="str">
        <f aca="false">IF(OR(H14="",I14=""),"",22.9*I14-4.68*H14)</f>
        <v/>
      </c>
      <c r="M14" s="23" t="str">
        <f aca="false">IF(OR(J14="",H14="",I14=""),"",(1000*J14-1.29*K14-53.78*L14)/220)</f>
        <v/>
      </c>
      <c r="N14" s="23" t="str">
        <f aca="false">IF(OR(K14="",F14="",G14=""),"",K14*G14/(1000*F14))</f>
        <v/>
      </c>
      <c r="O14" s="23" t="str">
        <f aca="false">IF(OR(L14="",F14="",G14=""),"",L14*G14/(1000*F14))</f>
        <v/>
      </c>
      <c r="P14" s="23" t="str">
        <f aca="false">IF(OR(N14="",O14=""),"",N14+O14)</f>
        <v/>
      </c>
      <c r="Q14" s="23" t="str">
        <f aca="false">IF(OR(M14=""),"",M14*G14/(1000*F14))</f>
        <v/>
      </c>
      <c r="R14" s="23" t="str">
        <f aca="false">IF(OR(N14="",O14=""),"",N14/O14)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14"/>
      <c r="I15" s="14"/>
      <c r="J15" s="14"/>
      <c r="K15" s="23" t="str">
        <f aca="false">IF(OR(H15="",I15=""),"",12.7*H15-2.69*I15)</f>
        <v/>
      </c>
      <c r="L15" s="23" t="str">
        <f aca="false">IF(OR(H15="",I15=""),"",22.9*I15-4.68*H15)</f>
        <v/>
      </c>
      <c r="M15" s="23" t="str">
        <f aca="false">IF(OR(J15="",H15="",I15=""),"",(1000*J15-1.29*K15-53.78*L15)/220)</f>
        <v/>
      </c>
      <c r="N15" s="23" t="str">
        <f aca="false">IF(OR(K15="",F15="",G15=""),"",K15*G15/(1000*F15))</f>
        <v/>
      </c>
      <c r="O15" s="23" t="str">
        <f aca="false">IF(OR(L15="",F15="",G15=""),"",L15*G15/(1000*F15))</f>
        <v/>
      </c>
      <c r="P15" s="23" t="str">
        <f aca="false">IF(OR(N15="",O15=""),"",N15+O15)</f>
        <v/>
      </c>
      <c r="Q15" s="23" t="str">
        <f aca="false">IF(OR(M15=""),"",M15*G15/(1000*F15))</f>
        <v/>
      </c>
      <c r="R15" s="23" t="str">
        <f aca="false">IF(OR(N15="",O15=""),"",N15/O15)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14"/>
      <c r="I16" s="14"/>
      <c r="J16" s="14"/>
      <c r="K16" s="23" t="str">
        <f aca="false">IF(OR(H16="",I16=""),"",12.7*H16-2.69*I16)</f>
        <v/>
      </c>
      <c r="L16" s="23" t="str">
        <f aca="false">IF(OR(H16="",I16=""),"",22.9*I16-4.68*H16)</f>
        <v/>
      </c>
      <c r="M16" s="23" t="str">
        <f aca="false">IF(OR(J16="",H16="",I16=""),"",(1000*J16-1.29*K16-53.78*L16)/220)</f>
        <v/>
      </c>
      <c r="N16" s="23" t="str">
        <f aca="false">IF(OR(K16="",F16="",G16=""),"",K16*G16/(1000*F16))</f>
        <v/>
      </c>
      <c r="O16" s="23" t="str">
        <f aca="false">IF(OR(L16="",F16="",G16=""),"",L16*G16/(1000*F16))</f>
        <v/>
      </c>
      <c r="P16" s="23" t="str">
        <f aca="false">IF(OR(N16="",O16=""),"",N16+O16)</f>
        <v/>
      </c>
      <c r="Q16" s="23" t="str">
        <f aca="false">IF(OR(M16=""),"",M16*G16/(1000*F16))</f>
        <v/>
      </c>
      <c r="R16" s="23" t="str">
        <f aca="false">IF(OR(N16="",O16=""),"",N16/O16)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14"/>
      <c r="I17" s="14"/>
      <c r="J17" s="14"/>
      <c r="K17" s="23" t="str">
        <f aca="false">IF(OR(H17="",I17=""),"",12.7*H17-2.69*I17)</f>
        <v/>
      </c>
      <c r="L17" s="23" t="str">
        <f aca="false">IF(OR(H17="",I17=""),"",22.9*I17-4.68*H17)</f>
        <v/>
      </c>
      <c r="M17" s="23" t="str">
        <f aca="false">IF(OR(J17="",H17="",I17=""),"",(1000*J17-1.29*K17-53.78*L17)/220)</f>
        <v/>
      </c>
      <c r="N17" s="23" t="str">
        <f aca="false">IF(OR(K17="",F17="",G17=""),"",K17*G17/(1000*F17))</f>
        <v/>
      </c>
      <c r="O17" s="23" t="str">
        <f aca="false">IF(OR(L17="",F17="",G17=""),"",L17*G17/(1000*F17))</f>
        <v/>
      </c>
      <c r="P17" s="23" t="str">
        <f aca="false">IF(OR(N17="",O17=""),"",N17+O17)</f>
        <v/>
      </c>
      <c r="Q17" s="23" t="str">
        <f aca="false">IF(OR(M17=""),"",M17*G17/(1000*F17))</f>
        <v/>
      </c>
      <c r="R17" s="23" t="str">
        <f aca="false">IF(OR(N17="",O17=""),"",N17/O17)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14"/>
      <c r="I18" s="14"/>
      <c r="J18" s="14"/>
      <c r="K18" s="23" t="str">
        <f aca="false">IF(OR(H18="",I18=""),"",12.7*H18-2.69*I18)</f>
        <v/>
      </c>
      <c r="L18" s="23" t="str">
        <f aca="false">IF(OR(H18="",I18=""),"",22.9*I18-4.68*H18)</f>
        <v/>
      </c>
      <c r="M18" s="23" t="str">
        <f aca="false">IF(OR(J18="",H18="",I18=""),"",(1000*J18-1.29*K18-53.78*L18)/220)</f>
        <v/>
      </c>
      <c r="N18" s="23" t="str">
        <f aca="false">IF(OR(K18="",F18="",G18=""),"",K18*G18/(1000*F18))</f>
        <v/>
      </c>
      <c r="O18" s="23" t="str">
        <f aca="false">IF(OR(L18="",F18="",G18=""),"",L18*G18/(1000*F18))</f>
        <v/>
      </c>
      <c r="P18" s="23" t="str">
        <f aca="false">IF(OR(N18="",O18=""),"",N18+O18)</f>
        <v/>
      </c>
      <c r="Q18" s="23" t="str">
        <f aca="false">IF(OR(M18=""),"",M18*G18/(1000*F18))</f>
        <v/>
      </c>
      <c r="R18" s="23" t="str">
        <f aca="false">IF(OR(N18="",O18=""),"",N18/O18)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14"/>
      <c r="I19" s="14"/>
      <c r="J19" s="14"/>
      <c r="K19" s="23" t="str">
        <f aca="false">IF(OR(H19="",I19=""),"",12.7*H19-2.69*I19)</f>
        <v/>
      </c>
      <c r="L19" s="23" t="str">
        <f aca="false">IF(OR(H19="",I19=""),"",22.9*I19-4.68*H19)</f>
        <v/>
      </c>
      <c r="M19" s="23" t="str">
        <f aca="false">IF(OR(J19="",H19="",I19=""),"",(1000*J19-1.29*K19-53.78*L19)/220)</f>
        <v/>
      </c>
      <c r="N19" s="23" t="str">
        <f aca="false">IF(OR(K19="",F19="",G19=""),"",K19*G19/(1000*F19))</f>
        <v/>
      </c>
      <c r="O19" s="23" t="str">
        <f aca="false">IF(OR(L19="",F19="",G19=""),"",L19*G19/(1000*F19))</f>
        <v/>
      </c>
      <c r="P19" s="23" t="str">
        <f aca="false">IF(OR(N19="",O19=""),"",N19+O19)</f>
        <v/>
      </c>
      <c r="Q19" s="23" t="str">
        <f aca="false">IF(OR(M19=""),"",M19*G19/(1000*F19))</f>
        <v/>
      </c>
      <c r="R19" s="23" t="str">
        <f aca="false">IF(OR(N19="",O19=""),"",N19/O19)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14"/>
      <c r="I20" s="14"/>
      <c r="J20" s="14"/>
      <c r="K20" s="23" t="str">
        <f aca="false">IF(OR(H20="",I20=""),"",12.7*H20-2.69*I20)</f>
        <v/>
      </c>
      <c r="L20" s="23" t="str">
        <f aca="false">IF(OR(H20="",I20=""),"",22.9*I20-4.68*H20)</f>
        <v/>
      </c>
      <c r="M20" s="23" t="str">
        <f aca="false">IF(OR(J20="",H20="",I20=""),"",(1000*J20-1.29*K20-53.78*L20)/220)</f>
        <v/>
      </c>
      <c r="N20" s="23" t="str">
        <f aca="false">IF(OR(K20="",F20="",G20=""),"",K20*G20/(1000*F20))</f>
        <v/>
      </c>
      <c r="O20" s="23" t="str">
        <f aca="false">IF(OR(L20="",F20="",G20=""),"",L20*G20/(1000*F20))</f>
        <v/>
      </c>
      <c r="P20" s="23" t="str">
        <f aca="false">IF(OR(N20="",O20=""),"",N20+O20)</f>
        <v/>
      </c>
      <c r="Q20" s="23" t="str">
        <f aca="false">IF(OR(M20=""),"",M20*G20/(1000*F20))</f>
        <v/>
      </c>
      <c r="R20" s="23" t="str">
        <f aca="false">IF(OR(N20="",O20=""),"",N20/O20)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14"/>
      <c r="I21" s="14"/>
      <c r="J21" s="14"/>
      <c r="K21" s="23" t="str">
        <f aca="false">IF(OR(H21="",I21=""),"",12.7*H21-2.69*I21)</f>
        <v/>
      </c>
      <c r="L21" s="23" t="str">
        <f aca="false">IF(OR(H21="",I21=""),"",22.9*I21-4.68*H21)</f>
        <v/>
      </c>
      <c r="M21" s="23" t="str">
        <f aca="false">IF(OR(J21="",H21="",I21=""),"",(1000*J21-1.29*K21-53.78*L21)/220)</f>
        <v/>
      </c>
      <c r="N21" s="23" t="str">
        <f aca="false">IF(OR(K21="",F21="",G21=""),"",K21*G21/(1000*F21))</f>
        <v/>
      </c>
      <c r="O21" s="23" t="str">
        <f aca="false">IF(OR(L21="",F21="",G21=""),"",L21*G21/(1000*F21))</f>
        <v/>
      </c>
      <c r="P21" s="23" t="str">
        <f aca="false">IF(OR(N21="",O21=""),"",N21+O21)</f>
        <v/>
      </c>
      <c r="Q21" s="23" t="str">
        <f aca="false">IF(OR(M21=""),"",M21*G21/(1000*F21))</f>
        <v/>
      </c>
      <c r="R21" s="23" t="str">
        <f aca="false">IF(OR(N21="",O21=""),"",N21/O21)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14"/>
      <c r="I22" s="14"/>
      <c r="J22" s="14"/>
      <c r="K22" s="23" t="str">
        <f aca="false">IF(OR(H22="",I22=""),"",12.7*H22-2.69*I22)</f>
        <v/>
      </c>
      <c r="L22" s="23" t="str">
        <f aca="false">IF(OR(H22="",I22=""),"",22.9*I22-4.68*H22)</f>
        <v/>
      </c>
      <c r="M22" s="23" t="str">
        <f aca="false">IF(OR(J22="",H22="",I22=""),"",(1000*J22-1.29*K22-53.78*L22)/220)</f>
        <v/>
      </c>
      <c r="N22" s="23" t="str">
        <f aca="false">IF(OR(K22="",F22="",G22=""),"",K22*G22/(1000*F22))</f>
        <v/>
      </c>
      <c r="O22" s="23" t="str">
        <f aca="false">IF(OR(L22="",F22="",G22=""),"",L22*G22/(1000*F22))</f>
        <v/>
      </c>
      <c r="P22" s="23" t="str">
        <f aca="false">IF(OR(N22="",O22=""),"",N22+O22)</f>
        <v/>
      </c>
      <c r="Q22" s="23" t="str">
        <f aca="false">IF(OR(M22=""),"",M22*G22/(1000*F22))</f>
        <v/>
      </c>
      <c r="R22" s="23" t="str">
        <f aca="false">IF(OR(N22="",O22=""),"",N22/O22)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14"/>
      <c r="I23" s="14"/>
      <c r="J23" s="14"/>
      <c r="K23" s="23" t="str">
        <f aca="false">IF(OR(H23="",I23=""),"",12.7*H23-2.69*I23)</f>
        <v/>
      </c>
      <c r="L23" s="23" t="str">
        <f aca="false">IF(OR(H23="",I23=""),"",22.9*I23-4.68*H23)</f>
        <v/>
      </c>
      <c r="M23" s="23" t="str">
        <f aca="false">IF(OR(J23="",H23="",I23=""),"",(1000*J23-1.29*K23-53.78*L23)/220)</f>
        <v/>
      </c>
      <c r="N23" s="23" t="str">
        <f aca="false">IF(OR(K23="",F23="",G23=""),"",K23*G23/(1000*F23))</f>
        <v/>
      </c>
      <c r="O23" s="23" t="str">
        <f aca="false">IF(OR(L23="",F23="",G23=""),"",L23*G23/(1000*F23))</f>
        <v/>
      </c>
      <c r="P23" s="23" t="str">
        <f aca="false">IF(OR(N23="",O23=""),"",N23+O23)</f>
        <v/>
      </c>
      <c r="Q23" s="23" t="str">
        <f aca="false">IF(OR(M23=""),"",M23*G23/(1000*F23))</f>
        <v/>
      </c>
      <c r="R23" s="23" t="str">
        <f aca="false">IF(OR(N23="",O23=""),"",N23/O23)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14"/>
      <c r="I24" s="14"/>
      <c r="J24" s="14"/>
      <c r="K24" s="23" t="str">
        <f aca="false">IF(OR(H24="",I24=""),"",12.7*H24-2.69*I24)</f>
        <v/>
      </c>
      <c r="L24" s="23" t="str">
        <f aca="false">IF(OR(H24="",I24=""),"",22.9*I24-4.68*H24)</f>
        <v/>
      </c>
      <c r="M24" s="23" t="str">
        <f aca="false">IF(OR(J24="",H24="",I24=""),"",(1000*J24-1.29*K24-53.78*L24)/220)</f>
        <v/>
      </c>
      <c r="N24" s="23" t="str">
        <f aca="false">IF(OR(K24="",F24="",G24=""),"",K24*G24/(1000*F24))</f>
        <v/>
      </c>
      <c r="O24" s="23" t="str">
        <f aca="false">IF(OR(L24="",F24="",G24=""),"",L24*G24/(1000*F24))</f>
        <v/>
      </c>
      <c r="P24" s="23" t="str">
        <f aca="false">IF(OR(N24="",O24=""),"",N24+O24)</f>
        <v/>
      </c>
      <c r="Q24" s="23" t="str">
        <f aca="false">IF(OR(M24=""),"",M24*G24/(1000*F24))</f>
        <v/>
      </c>
      <c r="R24" s="23" t="str">
        <f aca="false">IF(OR(N24="",O24=""),"",N24/O24)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14"/>
      <c r="I25" s="14"/>
      <c r="J25" s="14"/>
      <c r="K25" s="23" t="str">
        <f aca="false">IF(OR(H25="",I25=""),"",12.7*H25-2.69*I25)</f>
        <v/>
      </c>
      <c r="L25" s="23" t="str">
        <f aca="false">IF(OR(H25="",I25=""),"",22.9*I25-4.68*H25)</f>
        <v/>
      </c>
      <c r="M25" s="23" t="str">
        <f aca="false">IF(OR(J25="",H25="",I25=""),"",(1000*J25-1.29*K25-53.78*L25)/220)</f>
        <v/>
      </c>
      <c r="N25" s="23" t="str">
        <f aca="false">IF(OR(K25="",F25="",G25=""),"",K25*G25/(1000*F25))</f>
        <v/>
      </c>
      <c r="O25" s="23" t="str">
        <f aca="false">IF(OR(L25="",F25="",G25=""),"",L25*G25/(1000*F25))</f>
        <v/>
      </c>
      <c r="P25" s="23" t="str">
        <f aca="false">IF(OR(N25="",O25=""),"",N25+O25)</f>
        <v/>
      </c>
      <c r="Q25" s="23" t="str">
        <f aca="false">IF(OR(M25=""),"",M25*G25/(1000*F25))</f>
        <v/>
      </c>
      <c r="R25" s="23" t="str">
        <f aca="false">IF(OR(N25="",O25=""),"",N25/O25)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14"/>
      <c r="I26" s="14"/>
      <c r="J26" s="14"/>
      <c r="K26" s="23" t="str">
        <f aca="false">IF(OR(H26="",I26=""),"",12.7*H26-2.69*I26)</f>
        <v/>
      </c>
      <c r="L26" s="23" t="str">
        <f aca="false">IF(OR(H26="",I26=""),"",22.9*I26-4.68*H26)</f>
        <v/>
      </c>
      <c r="M26" s="23" t="str">
        <f aca="false">IF(OR(J26="",H26="",I26=""),"",(1000*J26-1.29*K26-53.78*L26)/220)</f>
        <v/>
      </c>
      <c r="N26" s="23" t="str">
        <f aca="false">IF(OR(K26="",F26="",G26=""),"",K26*G26/(1000*F26))</f>
        <v/>
      </c>
      <c r="O26" s="23" t="str">
        <f aca="false">IF(OR(L26="",F26="",G26=""),"",L26*G26/(1000*F26))</f>
        <v/>
      </c>
      <c r="P26" s="23" t="str">
        <f aca="false">IF(OR(N26="",O26=""),"",N26+O26)</f>
        <v/>
      </c>
      <c r="Q26" s="23" t="str">
        <f aca="false">IF(OR(M26=""),"",M26*G26/(1000*F26))</f>
        <v/>
      </c>
      <c r="R26" s="23" t="str">
        <f aca="false">IF(OR(N26="",O26=""),"",N26/O26)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14"/>
      <c r="I27" s="14"/>
      <c r="J27" s="14"/>
      <c r="K27" s="23" t="str">
        <f aca="false">IF(OR(H27="",I27=""),"",12.7*H27-2.69*I27)</f>
        <v/>
      </c>
      <c r="L27" s="23" t="str">
        <f aca="false">IF(OR(H27="",I27=""),"",22.9*I27-4.68*H27)</f>
        <v/>
      </c>
      <c r="M27" s="23" t="str">
        <f aca="false">IF(OR(J27="",H27="",I27=""),"",(1000*J27-1.29*K27-53.78*L27)/220)</f>
        <v/>
      </c>
      <c r="N27" s="23" t="str">
        <f aca="false">IF(OR(K27="",F27="",G27=""),"",K27*G27/(1000*F27))</f>
        <v/>
      </c>
      <c r="O27" s="23" t="str">
        <f aca="false">IF(OR(L27="",F27="",G27=""),"",L27*G27/(1000*F27))</f>
        <v/>
      </c>
      <c r="P27" s="23" t="str">
        <f aca="false">IF(OR(N27="",O27=""),"",N27+O27)</f>
        <v/>
      </c>
      <c r="Q27" s="23" t="str">
        <f aca="false">IF(OR(M27=""),"",M27*G27/(1000*F27))</f>
        <v/>
      </c>
      <c r="R27" s="23" t="str">
        <f aca="false">IF(OR(N27="",O27=""),"",N27/O27)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14"/>
      <c r="I28" s="14"/>
      <c r="J28" s="14"/>
      <c r="K28" s="23" t="str">
        <f aca="false">IF(OR(H28="",I28=""),"",12.7*H28-2.69*I28)</f>
        <v/>
      </c>
      <c r="L28" s="23" t="str">
        <f aca="false">IF(OR(H28="",I28=""),"",22.9*I28-4.68*H28)</f>
        <v/>
      </c>
      <c r="M28" s="23" t="str">
        <f aca="false">IF(OR(J28="",H28="",I28=""),"",(1000*J28-1.29*K28-53.78*L28)/220)</f>
        <v/>
      </c>
      <c r="N28" s="23" t="str">
        <f aca="false">IF(OR(K28="",F28="",G28=""),"",K28*G28/(1000*F28))</f>
        <v/>
      </c>
      <c r="O28" s="23" t="str">
        <f aca="false">IF(OR(L28="",F28="",G28=""),"",L28*G28/(1000*F28))</f>
        <v/>
      </c>
      <c r="P28" s="23" t="str">
        <f aca="false">IF(OR(N28="",O28=""),"",N28+O28)</f>
        <v/>
      </c>
      <c r="Q28" s="23" t="str">
        <f aca="false">IF(OR(M28=""),"",M28*G28/(1000*F28))</f>
        <v/>
      </c>
      <c r="R28" s="23" t="str">
        <f aca="false">IF(OR(N28="",O28=""),"",N28/O28)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14"/>
      <c r="I29" s="14"/>
      <c r="J29" s="14"/>
      <c r="K29" s="23" t="str">
        <f aca="false">IF(OR(H29="",I29=""),"",12.7*H29-2.69*I29)</f>
        <v/>
      </c>
      <c r="L29" s="23" t="str">
        <f aca="false">IF(OR(H29="",I29=""),"",22.9*I29-4.68*H29)</f>
        <v/>
      </c>
      <c r="M29" s="23" t="str">
        <f aca="false">IF(OR(J29="",H29="",I29=""),"",(1000*J29-1.29*K29-53.78*L29)/220)</f>
        <v/>
      </c>
      <c r="N29" s="23" t="str">
        <f aca="false">IF(OR(K29="",F29="",G29=""),"",K29*G29/(1000*F29))</f>
        <v/>
      </c>
      <c r="O29" s="23" t="str">
        <f aca="false">IF(OR(L29="",F29="",G29=""),"",L29*G29/(1000*F29))</f>
        <v/>
      </c>
      <c r="P29" s="23" t="str">
        <f aca="false">IF(OR(N29="",O29=""),"",N29+O29)</f>
        <v/>
      </c>
      <c r="Q29" s="23" t="str">
        <f aca="false">IF(OR(M29=""),"",M29*G29/(1000*F29))</f>
        <v/>
      </c>
      <c r="R29" s="23" t="str">
        <f aca="false">IF(OR(N29="",O29=""),"",N29/O29)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14"/>
      <c r="I30" s="14"/>
      <c r="J30" s="14"/>
      <c r="K30" s="23" t="str">
        <f aca="false">IF(OR(H30="",I30=""),"",12.7*H30-2.69*I30)</f>
        <v/>
      </c>
      <c r="L30" s="23" t="str">
        <f aca="false">IF(OR(H30="",I30=""),"",22.9*I30-4.68*H30)</f>
        <v/>
      </c>
      <c r="M30" s="23" t="str">
        <f aca="false">IF(OR(J30="",H30="",I30=""),"",(1000*J30-1.29*K30-53.78*L30)/220)</f>
        <v/>
      </c>
      <c r="N30" s="23" t="str">
        <f aca="false">IF(OR(K30="",F30="",G30=""),"",K30*G30/(1000*F30))</f>
        <v/>
      </c>
      <c r="O30" s="23" t="str">
        <f aca="false">IF(OR(L30="",F30="",G30=""),"",L30*G30/(1000*F30))</f>
        <v/>
      </c>
      <c r="P30" s="23" t="str">
        <f aca="false">IF(OR(N30="",O30=""),"",N30+O30)</f>
        <v/>
      </c>
      <c r="Q30" s="23" t="str">
        <f aca="false">IF(OR(M30=""),"",M30*G30/(1000*F30))</f>
        <v/>
      </c>
      <c r="R30" s="23" t="str">
        <f aca="false">IF(OR(N30="",O30=""),"",N30/O30)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14"/>
      <c r="I31" s="14"/>
      <c r="J31" s="14"/>
      <c r="K31" s="23" t="str">
        <f aca="false">IF(OR(H31="",I31=""),"",12.7*H31-2.69*I31)</f>
        <v/>
      </c>
      <c r="L31" s="23" t="str">
        <f aca="false">IF(OR(H31="",I31=""),"",22.9*I31-4.68*H31)</f>
        <v/>
      </c>
      <c r="M31" s="23" t="str">
        <f aca="false">IF(OR(J31="",H31="",I31=""),"",(1000*J31-1.29*K31-53.78*L31)/220)</f>
        <v/>
      </c>
      <c r="N31" s="23" t="str">
        <f aca="false">IF(OR(K31="",F31="",G31=""),"",K31*G31/(1000*F31))</f>
        <v/>
      </c>
      <c r="O31" s="23" t="str">
        <f aca="false">IF(OR(L31="",F31="",G31=""),"",L31*G31/(1000*F31))</f>
        <v/>
      </c>
      <c r="P31" s="23" t="str">
        <f aca="false">IF(OR(N31="",O31=""),"",N31+O31)</f>
        <v/>
      </c>
      <c r="Q31" s="23" t="str">
        <f aca="false">IF(OR(M31=""),"",M31*G31/(1000*F31))</f>
        <v/>
      </c>
      <c r="R31" s="23" t="str">
        <f aca="false">IF(OR(N31="",O31=""),"",N31/O31)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14"/>
      <c r="I32" s="14"/>
      <c r="J32" s="14"/>
      <c r="K32" s="23" t="str">
        <f aca="false">IF(OR(H32="",I32=""),"",12.7*H32-2.69*I32)</f>
        <v/>
      </c>
      <c r="L32" s="23" t="str">
        <f aca="false">IF(OR(H32="",I32=""),"",22.9*I32-4.68*H32)</f>
        <v/>
      </c>
      <c r="M32" s="23" t="str">
        <f aca="false">IF(OR(J32="",H32="",I32=""),"",(1000*J32-1.29*K32-53.78*L32)/220)</f>
        <v/>
      </c>
      <c r="N32" s="23" t="str">
        <f aca="false">IF(OR(K32="",F32="",G32=""),"",K32*G32/(1000*F32))</f>
        <v/>
      </c>
      <c r="O32" s="23" t="str">
        <f aca="false">IF(OR(L32="",F32="",G32=""),"",L32*G32/(1000*F32))</f>
        <v/>
      </c>
      <c r="P32" s="23" t="str">
        <f aca="false">IF(OR(N32="",O32=""),"",N32+O32)</f>
        <v/>
      </c>
      <c r="Q32" s="23" t="str">
        <f aca="false">IF(OR(M32=""),"",M32*G32/(1000*F32))</f>
        <v/>
      </c>
      <c r="R32" s="23" t="str">
        <f aca="false">IF(OR(N32="",O32=""),"",N32/O32)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14"/>
      <c r="I33" s="14"/>
      <c r="J33" s="14"/>
      <c r="K33" s="23" t="str">
        <f aca="false">IF(OR(H33="",I33=""),"",12.7*H33-2.69*I33)</f>
        <v/>
      </c>
      <c r="L33" s="23" t="str">
        <f aca="false">IF(OR(H33="",I33=""),"",22.9*I33-4.68*H33)</f>
        <v/>
      </c>
      <c r="M33" s="23" t="str">
        <f aca="false">IF(OR(J33="",H33="",I33=""),"",(1000*J33-1.29*K33-53.78*L33)/220)</f>
        <v/>
      </c>
      <c r="N33" s="23" t="str">
        <f aca="false">IF(OR(K33="",F33="",G33=""),"",K33*G33/(1000*F33))</f>
        <v/>
      </c>
      <c r="O33" s="23" t="str">
        <f aca="false">IF(OR(L33="",F33="",G33=""),"",L33*G33/(1000*F33))</f>
        <v/>
      </c>
      <c r="P33" s="23" t="str">
        <f aca="false">IF(OR(N33="",O33=""),"",N33+O33)</f>
        <v/>
      </c>
      <c r="Q33" s="23" t="str">
        <f aca="false">IF(OR(M33=""),"",M33*G33/(1000*F33))</f>
        <v/>
      </c>
      <c r="R33" s="23" t="str">
        <f aca="false">IF(OR(N33="",O33=""),"",N33/O33)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14"/>
      <c r="I34" s="14"/>
      <c r="J34" s="14"/>
      <c r="K34" s="23" t="str">
        <f aca="false">IF(OR(H34="",I34=""),"",12.7*H34-2.69*I34)</f>
        <v/>
      </c>
      <c r="L34" s="23" t="str">
        <f aca="false">IF(OR(H34="",I34=""),"",22.9*I34-4.68*H34)</f>
        <v/>
      </c>
      <c r="M34" s="23" t="str">
        <f aca="false">IF(OR(J34="",H34="",I34=""),"",(1000*J34-1.29*K34-53.78*L34)/220)</f>
        <v/>
      </c>
      <c r="N34" s="23" t="str">
        <f aca="false">IF(OR(K34="",F34="",G34=""),"",K34*G34/(1000*F34))</f>
        <v/>
      </c>
      <c r="O34" s="23" t="str">
        <f aca="false">IF(OR(L34="",F34="",G34=""),"",L34*G34/(1000*F34))</f>
        <v/>
      </c>
      <c r="P34" s="23" t="str">
        <f aca="false">IF(OR(N34="",O34=""),"",N34+O34)</f>
        <v/>
      </c>
      <c r="Q34" s="23" t="str">
        <f aca="false">IF(OR(M34=""),"",M34*G34/(1000*F34))</f>
        <v/>
      </c>
      <c r="R34" s="23" t="str">
        <f aca="false">IF(OR(N34="",O34=""),"",N34/O34)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14"/>
      <c r="I35" s="14"/>
      <c r="J35" s="14"/>
      <c r="K35" s="23" t="str">
        <f aca="false">IF(OR(H35="",I35=""),"",12.7*H35-2.69*I35)</f>
        <v/>
      </c>
      <c r="L35" s="23" t="str">
        <f aca="false">IF(OR(H35="",I35=""),"",22.9*I35-4.68*H35)</f>
        <v/>
      </c>
      <c r="M35" s="23" t="str">
        <f aca="false">IF(OR(J35="",H35="",I35=""),"",(1000*J35-1.29*K35-53.78*L35)/220)</f>
        <v/>
      </c>
      <c r="N35" s="23" t="str">
        <f aca="false">IF(OR(K35="",F35="",G35=""),"",K35*G35/(1000*F35))</f>
        <v/>
      </c>
      <c r="O35" s="23" t="str">
        <f aca="false">IF(OR(L35="",F35="",G35=""),"",L35*G35/(1000*F35))</f>
        <v/>
      </c>
      <c r="P35" s="23" t="str">
        <f aca="false">IF(OR(N35="",O35=""),"",N35+O35)</f>
        <v/>
      </c>
      <c r="Q35" s="23" t="str">
        <f aca="false">IF(OR(M35=""),"",M35*G35/(1000*F35))</f>
        <v/>
      </c>
      <c r="R35" s="23" t="str">
        <f aca="false">IF(OR(N35="",O35=""),"",N35/O35)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14"/>
      <c r="I36" s="14"/>
      <c r="J36" s="14"/>
      <c r="K36" s="23" t="str">
        <f aca="false">IF(OR(H36="",I36=""),"",12.7*H36-2.69*I36)</f>
        <v/>
      </c>
      <c r="L36" s="23" t="str">
        <f aca="false">IF(OR(H36="",I36=""),"",22.9*I36-4.68*H36)</f>
        <v/>
      </c>
      <c r="M36" s="23" t="str">
        <f aca="false">IF(OR(J36="",H36="",I36=""),"",(1000*J36-1.29*K36-53.78*L36)/220)</f>
        <v/>
      </c>
      <c r="N36" s="23" t="str">
        <f aca="false">IF(OR(K36="",F36="",G36=""),"",K36*G36/(1000*F36))</f>
        <v/>
      </c>
      <c r="O36" s="23" t="str">
        <f aca="false">IF(OR(L36="",F36="",G36=""),"",L36*G36/(1000*F36))</f>
        <v/>
      </c>
      <c r="P36" s="23" t="str">
        <f aca="false">IF(OR(N36="",O36=""),"",N36+O36)</f>
        <v/>
      </c>
      <c r="Q36" s="23" t="str">
        <f aca="false">IF(OR(M36=""),"",M36*G36/(1000*F36))</f>
        <v/>
      </c>
      <c r="R36" s="23" t="str">
        <f aca="false">IF(OR(N36="",O36=""),"",N36/O36)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14"/>
      <c r="I37" s="14"/>
      <c r="J37" s="14"/>
      <c r="K37" s="23" t="str">
        <f aca="false">IF(OR(H37="",I37=""),"",12.7*H37-2.69*I37)</f>
        <v/>
      </c>
      <c r="L37" s="23" t="str">
        <f aca="false">IF(OR(H37="",I37=""),"",22.9*I37-4.68*H37)</f>
        <v/>
      </c>
      <c r="M37" s="23" t="str">
        <f aca="false">IF(OR(J37="",H37="",I37=""),"",(1000*J37-1.29*K37-53.78*L37)/220)</f>
        <v/>
      </c>
      <c r="N37" s="23" t="str">
        <f aca="false">IF(OR(K37="",F37="",G37=""),"",K37*G37/(1000*F37))</f>
        <v/>
      </c>
      <c r="O37" s="23" t="str">
        <f aca="false">IF(OR(L37="",F37="",G37=""),"",L37*G37/(1000*F37))</f>
        <v/>
      </c>
      <c r="P37" s="23" t="str">
        <f aca="false">IF(OR(N37="",O37=""),"",N37+O37)</f>
        <v/>
      </c>
      <c r="Q37" s="23" t="str">
        <f aca="false">IF(OR(M37=""),"",M37*G37/(1000*F37))</f>
        <v/>
      </c>
      <c r="R37" s="23" t="str">
        <f aca="false">IF(OR(N37="",O37=""),"",N37/O37)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14"/>
      <c r="I38" s="14"/>
      <c r="J38" s="14"/>
      <c r="K38" s="23" t="str">
        <f aca="false">IF(OR(H38="",I38=""),"",12.7*H38-2.69*I38)</f>
        <v/>
      </c>
      <c r="L38" s="23" t="str">
        <f aca="false">IF(OR(H38="",I38=""),"",22.9*I38-4.68*H38)</f>
        <v/>
      </c>
      <c r="M38" s="23" t="str">
        <f aca="false">IF(OR(J38="",H38="",I38=""),"",(1000*J38-1.29*K38-53.78*L38)/220)</f>
        <v/>
      </c>
      <c r="N38" s="23" t="str">
        <f aca="false">IF(OR(K38="",F38="",G38=""),"",K38*G38/(1000*F38))</f>
        <v/>
      </c>
      <c r="O38" s="23" t="str">
        <f aca="false">IF(OR(L38="",F38="",G38=""),"",L38*G38/(1000*F38))</f>
        <v/>
      </c>
      <c r="P38" s="23" t="str">
        <f aca="false">IF(OR(N38="",O38=""),"",N38+O38)</f>
        <v/>
      </c>
      <c r="Q38" s="23" t="str">
        <f aca="false">IF(OR(M38=""),"",M38*G38/(1000*F38))</f>
        <v/>
      </c>
      <c r="R38" s="23" t="str">
        <f aca="false">IF(OR(N38="",O38=""),"",N38/O38)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14"/>
      <c r="I39" s="14"/>
      <c r="J39" s="14"/>
      <c r="K39" s="23" t="str">
        <f aca="false">IF(OR(H39="",I39=""),"",12.7*H39-2.69*I39)</f>
        <v/>
      </c>
      <c r="L39" s="23" t="str">
        <f aca="false">IF(OR(H39="",I39=""),"",22.9*I39-4.68*H39)</f>
        <v/>
      </c>
      <c r="M39" s="23" t="str">
        <f aca="false">IF(OR(J39="",H39="",I39=""),"",(1000*J39-1.29*K39-53.78*L39)/220)</f>
        <v/>
      </c>
      <c r="N39" s="23" t="str">
        <f aca="false">IF(OR(K39="",F39="",G39=""),"",K39*G39/(1000*F39))</f>
        <v/>
      </c>
      <c r="O39" s="23" t="str">
        <f aca="false">IF(OR(L39="",F39="",G39=""),"",L39*G39/(1000*F39))</f>
        <v/>
      </c>
      <c r="P39" s="23" t="str">
        <f aca="false">IF(OR(N39="",O39=""),"",N39+O39)</f>
        <v/>
      </c>
      <c r="Q39" s="23" t="str">
        <f aca="false">IF(OR(M39=""),"",M39*G39/(1000*F39))</f>
        <v/>
      </c>
      <c r="R39" s="23" t="str">
        <f aca="false">IF(OR(N39="",O39=""),"",N39/O39)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14"/>
      <c r="I40" s="14"/>
      <c r="J40" s="14"/>
      <c r="K40" s="23" t="str">
        <f aca="false">IF(OR(H40="",I40=""),"",12.7*H40-2.69*I40)</f>
        <v/>
      </c>
      <c r="L40" s="23" t="str">
        <f aca="false">IF(OR(H40="",I40=""),"",22.9*I40-4.68*H40)</f>
        <v/>
      </c>
      <c r="M40" s="23" t="str">
        <f aca="false">IF(OR(J40="",H40="",I40=""),"",(1000*J40-1.29*K40-53.78*L40)/220)</f>
        <v/>
      </c>
      <c r="N40" s="23" t="str">
        <f aca="false">IF(OR(K40="",F40="",G40=""),"",K40*G40/(1000*F40))</f>
        <v/>
      </c>
      <c r="O40" s="23" t="str">
        <f aca="false">IF(OR(L40="",F40="",G40=""),"",L40*G40/(1000*F40))</f>
        <v/>
      </c>
      <c r="P40" s="23" t="str">
        <f aca="false">IF(OR(N40="",O40=""),"",N40+O40)</f>
        <v/>
      </c>
      <c r="Q40" s="23" t="str">
        <f aca="false">IF(OR(M40=""),"",M40*G40/(1000*F40))</f>
        <v/>
      </c>
      <c r="R40" s="23" t="str">
        <f aca="false">IF(OR(N40="",O40=""),"",N40/O40)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14"/>
      <c r="I41" s="14"/>
      <c r="J41" s="14"/>
      <c r="K41" s="23" t="str">
        <f aca="false">IF(OR(H41="",I41=""),"",12.7*H41-2.69*I41)</f>
        <v/>
      </c>
      <c r="L41" s="23" t="str">
        <f aca="false">IF(OR(H41="",I41=""),"",22.9*I41-4.68*H41)</f>
        <v/>
      </c>
      <c r="M41" s="23" t="str">
        <f aca="false">IF(OR(J41="",H41="",I41=""),"",(1000*J41-1.29*K41-53.78*L41)/220)</f>
        <v/>
      </c>
      <c r="N41" s="23" t="str">
        <f aca="false">IF(OR(K41="",F41="",G41=""),"",K41*G41/(1000*F41))</f>
        <v/>
      </c>
      <c r="O41" s="23" t="str">
        <f aca="false">IF(OR(L41="",F41="",G41=""),"",L41*G41/(1000*F41))</f>
        <v/>
      </c>
      <c r="P41" s="23" t="str">
        <f aca="false">IF(OR(N41="",O41=""),"",N41+O41)</f>
        <v/>
      </c>
      <c r="Q41" s="23" t="str">
        <f aca="false">IF(OR(M41=""),"",M41*G41/(1000*F41))</f>
        <v/>
      </c>
      <c r="R41" s="23" t="str">
        <f aca="false">IF(OR(N41="",O41=""),"",N41/O41)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14"/>
      <c r="I42" s="14"/>
      <c r="J42" s="14"/>
      <c r="K42" s="23" t="str">
        <f aca="false">IF(OR(H42="",I42=""),"",12.7*H42-2.69*I42)</f>
        <v/>
      </c>
      <c r="L42" s="23" t="str">
        <f aca="false">IF(OR(H42="",I42=""),"",22.9*I42-4.68*H42)</f>
        <v/>
      </c>
      <c r="M42" s="23" t="str">
        <f aca="false">IF(OR(J42="",H42="",I42=""),"",(1000*J42-1.29*K42-53.78*L42)/220)</f>
        <v/>
      </c>
      <c r="N42" s="23" t="str">
        <f aca="false">IF(OR(K42="",F42="",G42=""),"",K42*G42/(1000*F42))</f>
        <v/>
      </c>
      <c r="O42" s="23" t="str">
        <f aca="false">IF(OR(L42="",F42="",G42=""),"",L42*G42/(1000*F42))</f>
        <v/>
      </c>
      <c r="P42" s="23" t="str">
        <f aca="false">IF(OR(N42="",O42=""),"",N42+O42)</f>
        <v/>
      </c>
      <c r="Q42" s="23" t="str">
        <f aca="false">IF(OR(M42=""),"",M42*G42/(1000*F42))</f>
        <v/>
      </c>
      <c r="R42" s="23" t="str">
        <f aca="false">IF(OR(N42="",O42=""),"",N42/O42)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14"/>
      <c r="I43" s="14"/>
      <c r="J43" s="14"/>
      <c r="K43" s="23" t="str">
        <f aca="false">IF(OR(H43="",I43=""),"",12.7*H43-2.69*I43)</f>
        <v/>
      </c>
      <c r="L43" s="23" t="str">
        <f aca="false">IF(OR(H43="",I43=""),"",22.9*I43-4.68*H43)</f>
        <v/>
      </c>
      <c r="M43" s="23" t="str">
        <f aca="false">IF(OR(J43="",H43="",I43=""),"",(1000*J43-1.29*K43-53.78*L43)/220)</f>
        <v/>
      </c>
      <c r="N43" s="23" t="str">
        <f aca="false">IF(OR(K43="",F43="",G43=""),"",K43*G43/(1000*F43))</f>
        <v/>
      </c>
      <c r="O43" s="23" t="str">
        <f aca="false">IF(OR(L43="",F43="",G43=""),"",L43*G43/(1000*F43))</f>
        <v/>
      </c>
      <c r="P43" s="23" t="str">
        <f aca="false">IF(OR(N43="",O43=""),"",N43+O43)</f>
        <v/>
      </c>
      <c r="Q43" s="23" t="str">
        <f aca="false">IF(OR(M43=""),"",M43*G43/(1000*F43))</f>
        <v/>
      </c>
      <c r="R43" s="23" t="str">
        <f aca="false">IF(OR(N43="",O43=""),"",N43/O43)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14"/>
      <c r="I44" s="14"/>
      <c r="J44" s="14"/>
      <c r="K44" s="23" t="str">
        <f aca="false">IF(OR(H44="",I44=""),"",12.7*H44-2.69*I44)</f>
        <v/>
      </c>
      <c r="L44" s="23" t="str">
        <f aca="false">IF(OR(H44="",I44=""),"",22.9*I44-4.68*H44)</f>
        <v/>
      </c>
      <c r="M44" s="23" t="str">
        <f aca="false">IF(OR(J44="",H44="",I44=""),"",(1000*J44-1.29*K44-53.78*L44)/220)</f>
        <v/>
      </c>
      <c r="N44" s="23" t="str">
        <f aca="false">IF(OR(K44="",F44="",G44=""),"",K44*G44/(1000*F44))</f>
        <v/>
      </c>
      <c r="O44" s="23" t="str">
        <f aca="false">IF(OR(L44="",F44="",G44=""),"",L44*G44/(1000*F44))</f>
        <v/>
      </c>
      <c r="P44" s="23" t="str">
        <f aca="false">IF(OR(N44="",O44=""),"",N44+O44)</f>
        <v/>
      </c>
      <c r="Q44" s="23" t="str">
        <f aca="false">IF(OR(M44=""),"",M44*G44/(1000*F44))</f>
        <v/>
      </c>
      <c r="R44" s="23" t="str">
        <f aca="false">IF(OR(N44="",O44=""),"",N44/O44)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14"/>
      <c r="I45" s="14"/>
      <c r="J45" s="14"/>
      <c r="K45" s="23" t="str">
        <f aca="false">IF(OR(H45="",I45=""),"",12.7*H45-2.69*I45)</f>
        <v/>
      </c>
      <c r="L45" s="23" t="str">
        <f aca="false">IF(OR(H45="",I45=""),"",22.9*I45-4.68*H45)</f>
        <v/>
      </c>
      <c r="M45" s="23" t="str">
        <f aca="false">IF(OR(J45="",H45="",I45=""),"",(1000*J45-1.29*K45-53.78*L45)/220)</f>
        <v/>
      </c>
      <c r="N45" s="23" t="str">
        <f aca="false">IF(OR(K45="",F45="",G45=""),"",K45*G45/(1000*F45))</f>
        <v/>
      </c>
      <c r="O45" s="23" t="str">
        <f aca="false">IF(OR(L45="",F45="",G45=""),"",L45*G45/(1000*F45))</f>
        <v/>
      </c>
      <c r="P45" s="23" t="str">
        <f aca="false">IF(OR(N45="",O45=""),"",N45+O45)</f>
        <v/>
      </c>
      <c r="Q45" s="23" t="str">
        <f aca="false">IF(OR(M45=""),"",M45*G45/(1000*F45))</f>
        <v/>
      </c>
      <c r="R45" s="23" t="str">
        <f aca="false">IF(OR(N45="",O45=""),"",N45/O45)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14"/>
      <c r="I46" s="14"/>
      <c r="J46" s="14"/>
      <c r="K46" s="23" t="str">
        <f aca="false">IF(OR(H46="",I46=""),"",12.7*H46-2.69*I46)</f>
        <v/>
      </c>
      <c r="L46" s="23" t="str">
        <f aca="false">IF(OR(H46="",I46=""),"",22.9*I46-4.68*H46)</f>
        <v/>
      </c>
      <c r="M46" s="23" t="str">
        <f aca="false">IF(OR(J46="",H46="",I46=""),"",(1000*J46-1.29*K46-53.78*L46)/220)</f>
        <v/>
      </c>
      <c r="N46" s="23" t="str">
        <f aca="false">IF(OR(K46="",F46="",G46=""),"",K46*G46/(1000*F46))</f>
        <v/>
      </c>
      <c r="O46" s="23" t="str">
        <f aca="false">IF(OR(L46="",F46="",G46=""),"",L46*G46/(1000*F46))</f>
        <v/>
      </c>
      <c r="P46" s="23" t="str">
        <f aca="false">IF(OR(N46="",O46=""),"",N46+O46)</f>
        <v/>
      </c>
      <c r="Q46" s="23" t="str">
        <f aca="false">IF(OR(M46=""),"",M46*G46/(1000*F46))</f>
        <v/>
      </c>
      <c r="R46" s="23" t="str">
        <f aca="false">IF(OR(N46="",O46=""),"",N46/O46)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14"/>
      <c r="I47" s="14"/>
      <c r="J47" s="14"/>
      <c r="K47" s="23" t="str">
        <f aca="false">IF(OR(H47="",I47=""),"",12.7*H47-2.69*I47)</f>
        <v/>
      </c>
      <c r="L47" s="23" t="str">
        <f aca="false">IF(OR(H47="",I47=""),"",22.9*I47-4.68*H47)</f>
        <v/>
      </c>
      <c r="M47" s="23" t="str">
        <f aca="false">IF(OR(J47="",H47="",I47=""),"",(1000*J47-1.29*K47-53.78*L47)/220)</f>
        <v/>
      </c>
      <c r="N47" s="23" t="str">
        <f aca="false">IF(OR(K47="",F47="",G47=""),"",K47*G47/(1000*F47))</f>
        <v/>
      </c>
      <c r="O47" s="23" t="str">
        <f aca="false">IF(OR(L47="",F47="",G47=""),"",L47*G47/(1000*F47))</f>
        <v/>
      </c>
      <c r="P47" s="23" t="str">
        <f aca="false">IF(OR(N47="",O47=""),"",N47+O47)</f>
        <v/>
      </c>
      <c r="Q47" s="23" t="str">
        <f aca="false">IF(OR(M47=""),"",M47*G47/(1000*F47))</f>
        <v/>
      </c>
      <c r="R47" s="23" t="str">
        <f aca="false">IF(OR(N47="",O47=""),"",N47/O47)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14"/>
      <c r="I48" s="14"/>
      <c r="J48" s="14"/>
      <c r="K48" s="23" t="str">
        <f aca="false">IF(OR(H48="",I48=""),"",12.7*H48-2.69*I48)</f>
        <v/>
      </c>
      <c r="L48" s="23" t="str">
        <f aca="false">IF(OR(H48="",I48=""),"",22.9*I48-4.68*H48)</f>
        <v/>
      </c>
      <c r="M48" s="23" t="str">
        <f aca="false">IF(OR(J48="",H48="",I48=""),"",(1000*J48-1.29*K48-53.78*L48)/220)</f>
        <v/>
      </c>
      <c r="N48" s="23" t="str">
        <f aca="false">IF(OR(K48="",F48="",G48=""),"",K48*G48/(1000*F48))</f>
        <v/>
      </c>
      <c r="O48" s="23" t="str">
        <f aca="false">IF(OR(L48="",F48="",G48=""),"",L48*G48/(1000*F48))</f>
        <v/>
      </c>
      <c r="P48" s="23" t="str">
        <f aca="false">IF(OR(N48="",O48=""),"",N48+O48)</f>
        <v/>
      </c>
      <c r="Q48" s="23" t="str">
        <f aca="false">IF(OR(M48=""),"",M48*G48/(1000*F48))</f>
        <v/>
      </c>
      <c r="R48" s="23" t="str">
        <f aca="false">IF(OR(N48="",O48=""),"",N48/O48)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14"/>
      <c r="I49" s="14"/>
      <c r="J49" s="14"/>
      <c r="K49" s="23" t="str">
        <f aca="false">IF(OR(H49="",I49=""),"",12.7*H49-2.69*I49)</f>
        <v/>
      </c>
      <c r="L49" s="23" t="str">
        <f aca="false">IF(OR(H49="",I49=""),"",22.9*I49-4.68*H49)</f>
        <v/>
      </c>
      <c r="M49" s="23" t="str">
        <f aca="false">IF(OR(J49="",H49="",I49=""),"",(1000*J49-1.29*K49-53.78*L49)/220)</f>
        <v/>
      </c>
      <c r="N49" s="23" t="str">
        <f aca="false">IF(OR(K49="",F49="",G49=""),"",K49*G49/(1000*F49))</f>
        <v/>
      </c>
      <c r="O49" s="23" t="str">
        <f aca="false">IF(OR(L49="",F49="",G49=""),"",L49*G49/(1000*F49))</f>
        <v/>
      </c>
      <c r="P49" s="23" t="str">
        <f aca="false">IF(OR(N49="",O49=""),"",N49+O49)</f>
        <v/>
      </c>
      <c r="Q49" s="23" t="str">
        <f aca="false">IF(OR(M49=""),"",M49*G49/(1000*F49))</f>
        <v/>
      </c>
      <c r="R49" s="23" t="str">
        <f aca="false">IF(OR(N49="",O49=""),"",N49/O49)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14"/>
      <c r="I50" s="14"/>
      <c r="J50" s="14"/>
      <c r="K50" s="23" t="str">
        <f aca="false">IF(OR(H50="",I50=""),"",12.7*H50-2.69*I50)</f>
        <v/>
      </c>
      <c r="L50" s="23" t="str">
        <f aca="false">IF(OR(H50="",I50=""),"",22.9*I50-4.68*H50)</f>
        <v/>
      </c>
      <c r="M50" s="23" t="str">
        <f aca="false">IF(OR(J50="",H50="",I50=""),"",(1000*J50-1.29*K50-53.78*L50)/220)</f>
        <v/>
      </c>
      <c r="N50" s="23" t="str">
        <f aca="false">IF(OR(K50="",F50="",G50=""),"",K50*G50/(1000*F50))</f>
        <v/>
      </c>
      <c r="O50" s="23" t="str">
        <f aca="false">IF(OR(L50="",F50="",G50=""),"",L50*G50/(1000*F50))</f>
        <v/>
      </c>
      <c r="P50" s="23" t="str">
        <f aca="false">IF(OR(N50="",O50=""),"",N50+O50)</f>
        <v/>
      </c>
      <c r="Q50" s="23" t="str">
        <f aca="false">IF(OR(M50=""),"",M50*G50/(1000*F50))</f>
        <v/>
      </c>
      <c r="R50" s="23" t="str">
        <f aca="false">IF(OR(N50="",O50=""),"",N50/O50)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14"/>
      <c r="I51" s="14"/>
      <c r="J51" s="14"/>
      <c r="K51" s="23" t="str">
        <f aca="false">IF(OR(H51="",I51=""),"",12.7*H51-2.69*I51)</f>
        <v/>
      </c>
      <c r="L51" s="23" t="str">
        <f aca="false">IF(OR(H51="",I51=""),"",22.9*I51-4.68*H51)</f>
        <v/>
      </c>
      <c r="M51" s="23" t="str">
        <f aca="false">IF(OR(J51="",H51="",I51=""),"",(1000*J51-1.29*K51-53.78*L51)/220)</f>
        <v/>
      </c>
      <c r="N51" s="23" t="str">
        <f aca="false">IF(OR(K51="",F51="",G51=""),"",K51*G51/(1000*F51))</f>
        <v/>
      </c>
      <c r="O51" s="23" t="str">
        <f aca="false">IF(OR(L51="",F51="",G51=""),"",L51*G51/(1000*F51))</f>
        <v/>
      </c>
      <c r="P51" s="23" t="str">
        <f aca="false">IF(OR(N51="",O51=""),"",N51+O51)</f>
        <v/>
      </c>
      <c r="Q51" s="23" t="str">
        <f aca="false">IF(OR(M51=""),"",M51*G51/(1000*F51))</f>
        <v/>
      </c>
      <c r="R51" s="23" t="str">
        <f aca="false">IF(OR(N51="",O51=""),"",N51/O51)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14"/>
      <c r="I52" s="14"/>
      <c r="J52" s="14"/>
      <c r="K52" s="23" t="str">
        <f aca="false">IF(OR(H52="",I52=""),"",12.7*H52-2.69*I52)</f>
        <v/>
      </c>
      <c r="L52" s="23" t="str">
        <f aca="false">IF(OR(H52="",I52=""),"",22.9*I52-4.68*H52)</f>
        <v/>
      </c>
      <c r="M52" s="23" t="str">
        <f aca="false">IF(OR(J52="",H52="",I52=""),"",(1000*J52-1.29*K52-53.78*L52)/220)</f>
        <v/>
      </c>
      <c r="N52" s="23" t="str">
        <f aca="false">IF(OR(K52="",F52="",G52=""),"",K52*G52/(1000*F52))</f>
        <v/>
      </c>
      <c r="O52" s="23" t="str">
        <f aca="false">IF(OR(L52="",F52="",G52=""),"",L52*G52/(1000*F52))</f>
        <v/>
      </c>
      <c r="P52" s="23" t="str">
        <f aca="false">IF(OR(N52="",O52=""),"",N52+O52)</f>
        <v/>
      </c>
      <c r="Q52" s="23" t="str">
        <f aca="false">IF(OR(M52=""),"",M52*G52/(1000*F52))</f>
        <v/>
      </c>
      <c r="R52" s="23" t="str">
        <f aca="false">IF(OR(N52="",O52=""),"",N52/O52)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14"/>
      <c r="I53" s="14"/>
      <c r="J53" s="14"/>
      <c r="K53" s="23" t="str">
        <f aca="false">IF(OR(H53="",I53=""),"",12.7*H53-2.69*I53)</f>
        <v/>
      </c>
      <c r="L53" s="23" t="str">
        <f aca="false">IF(OR(H53="",I53=""),"",22.9*I53-4.68*H53)</f>
        <v/>
      </c>
      <c r="M53" s="23" t="str">
        <f aca="false">IF(OR(J53="",H53="",I53=""),"",(1000*J53-1.29*K53-53.78*L53)/220)</f>
        <v/>
      </c>
      <c r="N53" s="23" t="str">
        <f aca="false">IF(OR(K53="",F53="",G53=""),"",K53*G53/(1000*F53))</f>
        <v/>
      </c>
      <c r="O53" s="23" t="str">
        <f aca="false">IF(OR(L53="",F53="",G53=""),"",L53*G53/(1000*F53))</f>
        <v/>
      </c>
      <c r="P53" s="23" t="str">
        <f aca="false">IF(OR(N53="",O53=""),"",N53+O53)</f>
        <v/>
      </c>
      <c r="Q53" s="23" t="str">
        <f aca="false">IF(OR(M53=""),"",M53*G53/(1000*F53))</f>
        <v/>
      </c>
      <c r="R53" s="23" t="str">
        <f aca="false">IF(OR(N53="",O53=""),"",N53/O53)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14"/>
      <c r="I54" s="14"/>
      <c r="J54" s="14"/>
      <c r="K54" s="23" t="str">
        <f aca="false">IF(OR(H54="",I54=""),"",12.7*H54-2.69*I54)</f>
        <v/>
      </c>
      <c r="L54" s="23" t="str">
        <f aca="false">IF(OR(H54="",I54=""),"",22.9*I54-4.68*H54)</f>
        <v/>
      </c>
      <c r="M54" s="23" t="str">
        <f aca="false">IF(OR(J54="",H54="",I54=""),"",(1000*J54-1.29*K54-53.78*L54)/220)</f>
        <v/>
      </c>
      <c r="N54" s="23" t="str">
        <f aca="false">IF(OR(K54="",F54="",G54=""),"",K54*G54/(1000*F54))</f>
        <v/>
      </c>
      <c r="O54" s="23" t="str">
        <f aca="false">IF(OR(L54="",F54="",G54=""),"",L54*G54/(1000*F54))</f>
        <v/>
      </c>
      <c r="P54" s="23" t="str">
        <f aca="false">IF(OR(N54="",O54=""),"",N54+O54)</f>
        <v/>
      </c>
      <c r="Q54" s="23" t="str">
        <f aca="false">IF(OR(M54=""),"",M54*G54/(1000*F54))</f>
        <v/>
      </c>
      <c r="R54" s="23" t="str">
        <f aca="false">IF(OR(N54="",O54=""),"",N54/O54)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14"/>
      <c r="I55" s="14"/>
      <c r="J55" s="14"/>
      <c r="K55" s="23" t="str">
        <f aca="false">IF(OR(H55="",I55=""),"",12.7*H55-2.69*I55)</f>
        <v/>
      </c>
      <c r="L55" s="23" t="str">
        <f aca="false">IF(OR(H55="",I55=""),"",22.9*I55-4.68*H55)</f>
        <v/>
      </c>
      <c r="M55" s="23" t="str">
        <f aca="false">IF(OR(J55="",H55="",I55=""),"",(1000*J55-1.29*K55-53.78*L55)/220)</f>
        <v/>
      </c>
      <c r="N55" s="23" t="str">
        <f aca="false">IF(OR(K55="",F55="",G55=""),"",K55*G55/(1000*F55))</f>
        <v/>
      </c>
      <c r="O55" s="23" t="str">
        <f aca="false">IF(OR(L55="",F55="",G55=""),"",L55*G55/(1000*F55))</f>
        <v/>
      </c>
      <c r="P55" s="23" t="str">
        <f aca="false">IF(OR(N55="",O55=""),"",N55+O55)</f>
        <v/>
      </c>
      <c r="Q55" s="23" t="str">
        <f aca="false">IF(OR(M55=""),"",M55*G55/(1000*F55))</f>
        <v/>
      </c>
      <c r="R55" s="23" t="str">
        <f aca="false">IF(OR(N55="",O55=""),"",N55/O55)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14"/>
      <c r="I56" s="14"/>
      <c r="J56" s="14"/>
      <c r="K56" s="23" t="str">
        <f aca="false">IF(OR(H56="",I56=""),"",12.7*H56-2.69*I56)</f>
        <v/>
      </c>
      <c r="L56" s="23" t="str">
        <f aca="false">IF(OR(H56="",I56=""),"",22.9*I56-4.68*H56)</f>
        <v/>
      </c>
      <c r="M56" s="23" t="str">
        <f aca="false">IF(OR(J56="",H56="",I56=""),"",(1000*J56-1.29*K56-53.78*L56)/220)</f>
        <v/>
      </c>
      <c r="N56" s="23" t="str">
        <f aca="false">IF(OR(K56="",F56="",G56=""),"",K56*G56/(1000*F56))</f>
        <v/>
      </c>
      <c r="O56" s="23" t="str">
        <f aca="false">IF(OR(L56="",F56="",G56=""),"",L56*G56/(1000*F56))</f>
        <v/>
      </c>
      <c r="P56" s="23" t="str">
        <f aca="false">IF(OR(N56="",O56=""),"",N56+O56)</f>
        <v/>
      </c>
      <c r="Q56" s="23" t="str">
        <f aca="false">IF(OR(M56=""),"",M56*G56/(1000*F56))</f>
        <v/>
      </c>
      <c r="R56" s="23" t="str">
        <f aca="false">IF(OR(N56="",O56=""),"",N56/O56)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14"/>
      <c r="I57" s="14"/>
      <c r="J57" s="14"/>
      <c r="K57" s="23" t="str">
        <f aca="false">IF(OR(H57="",I57=""),"",12.7*H57-2.69*I57)</f>
        <v/>
      </c>
      <c r="L57" s="23" t="str">
        <f aca="false">IF(OR(H57="",I57=""),"",22.9*I57-4.68*H57)</f>
        <v/>
      </c>
      <c r="M57" s="23" t="str">
        <f aca="false">IF(OR(J57="",H57="",I57=""),"",(1000*J57-1.29*K57-53.78*L57)/220)</f>
        <v/>
      </c>
      <c r="N57" s="23" t="str">
        <f aca="false">IF(OR(K57="",F57="",G57=""),"",K57*G57/(1000*F57))</f>
        <v/>
      </c>
      <c r="O57" s="23" t="str">
        <f aca="false">IF(OR(L57="",F57="",G57=""),"",L57*G57/(1000*F57))</f>
        <v/>
      </c>
      <c r="P57" s="23" t="str">
        <f aca="false">IF(OR(N57="",O57=""),"",N57+O57)</f>
        <v/>
      </c>
      <c r="Q57" s="23" t="str">
        <f aca="false">IF(OR(M57=""),"",M57*G57/(1000*F57))</f>
        <v/>
      </c>
      <c r="R57" s="23" t="str">
        <f aca="false">IF(OR(N57="",O57=""),"",N57/O57)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14"/>
      <c r="I58" s="14"/>
      <c r="J58" s="14"/>
      <c r="K58" s="23" t="str">
        <f aca="false">IF(OR(H58="",I58=""),"",12.7*H58-2.69*I58)</f>
        <v/>
      </c>
      <c r="L58" s="23" t="str">
        <f aca="false">IF(OR(H58="",I58=""),"",22.9*I58-4.68*H58)</f>
        <v/>
      </c>
      <c r="M58" s="23" t="str">
        <f aca="false">IF(OR(J58="",H58="",I58=""),"",(1000*J58-1.29*K58-53.78*L58)/220)</f>
        <v/>
      </c>
      <c r="N58" s="23" t="str">
        <f aca="false">IF(OR(K58="",F58="",G58=""),"",K58*G58/(1000*F58))</f>
        <v/>
      </c>
      <c r="O58" s="23" t="str">
        <f aca="false">IF(OR(L58="",F58="",G58=""),"",L58*G58/(1000*F58))</f>
        <v/>
      </c>
      <c r="P58" s="23" t="str">
        <f aca="false">IF(OR(N58="",O58=""),"",N58+O58)</f>
        <v/>
      </c>
      <c r="Q58" s="23" t="str">
        <f aca="false">IF(OR(M58=""),"",M58*G58/(1000*F58))</f>
        <v/>
      </c>
      <c r="R58" s="23" t="str">
        <f aca="false">IF(OR(N58="",O58=""),"",N58/O58)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14"/>
      <c r="I59" s="14"/>
      <c r="J59" s="14"/>
      <c r="K59" s="23" t="str">
        <f aca="false">IF(OR(H59="",I59=""),"",12.7*H59-2.69*I59)</f>
        <v/>
      </c>
      <c r="L59" s="23" t="str">
        <f aca="false">IF(OR(H59="",I59=""),"",22.9*I59-4.68*H59)</f>
        <v/>
      </c>
      <c r="M59" s="23" t="str">
        <f aca="false">IF(OR(J59="",H59="",I59=""),"",(1000*J59-1.29*K59-53.78*L59)/220)</f>
        <v/>
      </c>
      <c r="N59" s="23" t="str">
        <f aca="false">IF(OR(K59="",F59="",G59=""),"",K59*G59/(1000*F59))</f>
        <v/>
      </c>
      <c r="O59" s="23" t="str">
        <f aca="false">IF(OR(L59="",F59="",G59=""),"",L59*G59/(1000*F59))</f>
        <v/>
      </c>
      <c r="P59" s="23" t="str">
        <f aca="false">IF(OR(N59="",O59=""),"",N59+O59)</f>
        <v/>
      </c>
      <c r="Q59" s="23" t="str">
        <f aca="false">IF(OR(M59=""),"",M59*G59/(1000*F59))</f>
        <v/>
      </c>
      <c r="R59" s="23" t="str">
        <f aca="false">IF(OR(N59="",O59=""),"",N59/O59)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14"/>
      <c r="I60" s="14"/>
      <c r="J60" s="14"/>
      <c r="K60" s="23" t="str">
        <f aca="false">IF(OR(H60="",I60=""),"",12.7*H60-2.69*I60)</f>
        <v/>
      </c>
      <c r="L60" s="23" t="str">
        <f aca="false">IF(OR(H60="",I60=""),"",22.9*I60-4.68*H60)</f>
        <v/>
      </c>
      <c r="M60" s="23" t="str">
        <f aca="false">IF(OR(J60="",H60="",I60=""),"",(1000*J60-1.29*K60-53.78*L60)/220)</f>
        <v/>
      </c>
      <c r="N60" s="23" t="str">
        <f aca="false">IF(OR(K60="",F60="",G60=""),"",K60*G60/(1000*F60))</f>
        <v/>
      </c>
      <c r="O60" s="23" t="str">
        <f aca="false">IF(OR(L60="",F60="",G60=""),"",L60*G60/(1000*F60))</f>
        <v/>
      </c>
      <c r="P60" s="23" t="str">
        <f aca="false">IF(OR(N60="",O60=""),"",N60+O60)</f>
        <v/>
      </c>
      <c r="Q60" s="23" t="str">
        <f aca="false">IF(OR(M60=""),"",M60*G60/(1000*F60))</f>
        <v/>
      </c>
      <c r="R60" s="23" t="str">
        <f aca="false">IF(OR(N60="",O60=""),"",N60/O60)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14"/>
      <c r="I61" s="14"/>
      <c r="J61" s="14"/>
      <c r="K61" s="23" t="str">
        <f aca="false">IF(OR(H61="",I61=""),"",12.7*H61-2.69*I61)</f>
        <v/>
      </c>
      <c r="L61" s="23" t="str">
        <f aca="false">IF(OR(H61="",I61=""),"",22.9*I61-4.68*H61)</f>
        <v/>
      </c>
      <c r="M61" s="23" t="str">
        <f aca="false">IF(OR(J61="",H61="",I61=""),"",(1000*J61-1.29*K61-53.78*L61)/220)</f>
        <v/>
      </c>
      <c r="N61" s="23" t="str">
        <f aca="false">IF(OR(K61="",F61="",G61=""),"",K61*G61/(1000*F61))</f>
        <v/>
      </c>
      <c r="O61" s="23" t="str">
        <f aca="false">IF(OR(L61="",F61="",G61=""),"",L61*G61/(1000*F61))</f>
        <v/>
      </c>
      <c r="P61" s="23" t="str">
        <f aca="false">IF(OR(N61="",O61=""),"",N61+O61)</f>
        <v/>
      </c>
      <c r="Q61" s="23" t="str">
        <f aca="false">IF(OR(M61=""),"",M61*G61/(1000*F61))</f>
        <v/>
      </c>
      <c r="R61" s="23" t="str">
        <f aca="false">IF(OR(N61="",O61=""),"",N61/O61)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14"/>
      <c r="I62" s="14"/>
      <c r="J62" s="14"/>
      <c r="K62" s="23" t="str">
        <f aca="false">IF(OR(H62="",I62=""),"",12.7*H62-2.69*I62)</f>
        <v/>
      </c>
      <c r="L62" s="23" t="str">
        <f aca="false">IF(OR(H62="",I62=""),"",22.9*I62-4.68*H62)</f>
        <v/>
      </c>
      <c r="M62" s="23" t="str">
        <f aca="false">IF(OR(J62="",H62="",I62=""),"",(1000*J62-1.29*K62-53.78*L62)/220)</f>
        <v/>
      </c>
      <c r="N62" s="23" t="str">
        <f aca="false">IF(OR(K62="",F62="",G62=""),"",K62*G62/(1000*F62))</f>
        <v/>
      </c>
      <c r="O62" s="23" t="str">
        <f aca="false">IF(OR(L62="",F62="",G62=""),"",L62*G62/(1000*F62))</f>
        <v/>
      </c>
      <c r="P62" s="23" t="str">
        <f aca="false">IF(OR(N62="",O62=""),"",N62+O62)</f>
        <v/>
      </c>
      <c r="Q62" s="23" t="str">
        <f aca="false">IF(OR(M62=""),"",M62*G62/(1000*F62))</f>
        <v/>
      </c>
      <c r="R62" s="23" t="str">
        <f aca="false">IF(OR(N62="",O62=""),"",N62/O62)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14"/>
      <c r="I63" s="14"/>
      <c r="J63" s="14"/>
      <c r="K63" s="23" t="str">
        <f aca="false">IF(OR(H63="",I63=""),"",12.7*H63-2.69*I63)</f>
        <v/>
      </c>
      <c r="L63" s="23" t="str">
        <f aca="false">IF(OR(H63="",I63=""),"",22.9*I63-4.68*H63)</f>
        <v/>
      </c>
      <c r="M63" s="23" t="str">
        <f aca="false">IF(OR(J63="",H63="",I63=""),"",(1000*J63-1.29*K63-53.78*L63)/220)</f>
        <v/>
      </c>
      <c r="N63" s="23" t="str">
        <f aca="false">IF(OR(K63="",F63="",G63=""),"",K63*G63/(1000*F63))</f>
        <v/>
      </c>
      <c r="O63" s="23" t="str">
        <f aca="false">IF(OR(L63="",F63="",G63=""),"",L63*G63/(1000*F63))</f>
        <v/>
      </c>
      <c r="P63" s="23" t="str">
        <f aca="false">IF(OR(N63="",O63=""),"",N63+O63)</f>
        <v/>
      </c>
      <c r="Q63" s="23" t="str">
        <f aca="false">IF(OR(M63=""),"",M63*G63/(1000*F63))</f>
        <v/>
      </c>
      <c r="R63" s="23" t="str">
        <f aca="false">IF(OR(N63="",O63=""),"",N63/O63)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14"/>
      <c r="I64" s="14"/>
      <c r="J64" s="14"/>
      <c r="K64" s="23" t="str">
        <f aca="false">IF(OR(H64="",I64=""),"",12.7*H64-2.69*I64)</f>
        <v/>
      </c>
      <c r="L64" s="23" t="str">
        <f aca="false">IF(OR(H64="",I64=""),"",22.9*I64-4.68*H64)</f>
        <v/>
      </c>
      <c r="M64" s="23" t="str">
        <f aca="false">IF(OR(J64="",H64="",I64=""),"",(1000*J64-1.29*K64-53.78*L64)/220)</f>
        <v/>
      </c>
      <c r="N64" s="23" t="str">
        <f aca="false">IF(OR(K64="",F64="",G64=""),"",K64*G64/(1000*F64))</f>
        <v/>
      </c>
      <c r="O64" s="23" t="str">
        <f aca="false">IF(OR(L64="",F64="",G64=""),"",L64*G64/(1000*F64))</f>
        <v/>
      </c>
      <c r="P64" s="23" t="str">
        <f aca="false">IF(OR(N64="",O64=""),"",N64+O64)</f>
        <v/>
      </c>
      <c r="Q64" s="23" t="str">
        <f aca="false">IF(OR(M64=""),"",M64*G64/(1000*F64))</f>
        <v/>
      </c>
      <c r="R64" s="23" t="str">
        <f aca="false">IF(OR(N64="",O64=""),"",N64/O64)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14"/>
      <c r="I65" s="14"/>
      <c r="J65" s="14"/>
      <c r="K65" s="23" t="str">
        <f aca="false">IF(OR(H65="",I65=""),"",12.7*H65-2.69*I65)</f>
        <v/>
      </c>
      <c r="L65" s="23" t="str">
        <f aca="false">IF(OR(H65="",I65=""),"",22.9*I65-4.68*H65)</f>
        <v/>
      </c>
      <c r="M65" s="23" t="str">
        <f aca="false">IF(OR(J65="",H65="",I65=""),"",(1000*J65-1.29*K65-53.78*L65)/220)</f>
        <v/>
      </c>
      <c r="N65" s="23" t="str">
        <f aca="false">IF(OR(K65="",F65="",G65=""),"",K65*G65/(1000*F65))</f>
        <v/>
      </c>
      <c r="O65" s="23" t="str">
        <f aca="false">IF(OR(L65="",F65="",G65=""),"",L65*G65/(1000*F65))</f>
        <v/>
      </c>
      <c r="P65" s="23" t="str">
        <f aca="false">IF(OR(N65="",O65=""),"",N65+O65)</f>
        <v/>
      </c>
      <c r="Q65" s="23" t="str">
        <f aca="false">IF(OR(M65=""),"",M65*G65/(1000*F65))</f>
        <v/>
      </c>
      <c r="R65" s="23" t="str">
        <f aca="false">IF(OR(N65="",O65=""),"",N65/O65)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14"/>
      <c r="I66" s="14"/>
      <c r="J66" s="14"/>
      <c r="K66" s="23" t="str">
        <f aca="false">IF(OR(H66="",I66=""),"",12.7*H66-2.69*I66)</f>
        <v/>
      </c>
      <c r="L66" s="23" t="str">
        <f aca="false">IF(OR(H66="",I66=""),"",22.9*I66-4.68*H66)</f>
        <v/>
      </c>
      <c r="M66" s="23" t="str">
        <f aca="false">IF(OR(J66="",H66="",I66=""),"",(1000*J66-1.29*K66-53.78*L66)/220)</f>
        <v/>
      </c>
      <c r="N66" s="23" t="str">
        <f aca="false">IF(OR(K66="",F66="",G66=""),"",K66*G66/(1000*F66))</f>
        <v/>
      </c>
      <c r="O66" s="23" t="str">
        <f aca="false">IF(OR(L66="",F66="",G66=""),"",L66*G66/(1000*F66))</f>
        <v/>
      </c>
      <c r="P66" s="23" t="str">
        <f aca="false">IF(OR(N66="",O66=""),"",N66+O66)</f>
        <v/>
      </c>
      <c r="Q66" s="23" t="str">
        <f aca="false">IF(OR(M66=""),"",M66*G66/(1000*F66))</f>
        <v/>
      </c>
      <c r="R66" s="23" t="str">
        <f aca="false">IF(OR(N66="",O66=""),"",N66/O66)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14"/>
      <c r="I67" s="14"/>
      <c r="J67" s="14"/>
      <c r="K67" s="23" t="str">
        <f aca="false">IF(OR(H67="",I67=""),"",12.7*H67-2.69*I67)</f>
        <v/>
      </c>
      <c r="L67" s="23" t="str">
        <f aca="false">IF(OR(H67="",I67=""),"",22.9*I67-4.68*H67)</f>
        <v/>
      </c>
      <c r="M67" s="23" t="str">
        <f aca="false">IF(OR(J67="",H67="",I67=""),"",(1000*J67-1.29*K67-53.78*L67)/220)</f>
        <v/>
      </c>
      <c r="N67" s="23" t="str">
        <f aca="false">IF(OR(K67="",F67="",G67=""),"",K67*G67/(1000*F67))</f>
        <v/>
      </c>
      <c r="O67" s="23" t="str">
        <f aca="false">IF(OR(L67="",F67="",G67=""),"",L67*G67/(1000*F67))</f>
        <v/>
      </c>
      <c r="P67" s="23" t="str">
        <f aca="false">IF(OR(N67="",O67=""),"",N67+O67)</f>
        <v/>
      </c>
      <c r="Q67" s="23" t="str">
        <f aca="false">IF(OR(M67=""),"",M67*G67/(1000*F67))</f>
        <v/>
      </c>
      <c r="R67" s="23" t="str">
        <f aca="false">IF(OR(N67="",O67=""),"",N67/O67)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14"/>
      <c r="I68" s="14"/>
      <c r="J68" s="14"/>
      <c r="K68" s="23" t="str">
        <f aca="false">IF(OR(H68="",I68=""),"",12.7*H68-2.69*I68)</f>
        <v/>
      </c>
      <c r="L68" s="23" t="str">
        <f aca="false">IF(OR(H68="",I68=""),"",22.9*I68-4.68*H68)</f>
        <v/>
      </c>
      <c r="M68" s="23" t="str">
        <f aca="false">IF(OR(J68="",H68="",I68=""),"",(1000*J68-1.29*K68-53.78*L68)/220)</f>
        <v/>
      </c>
      <c r="N68" s="23" t="str">
        <f aca="false">IF(OR(K68="",F68="",G68=""),"",K68*G68/(1000*F68))</f>
        <v/>
      </c>
      <c r="O68" s="23" t="str">
        <f aca="false">IF(OR(L68="",F68="",G68=""),"",L68*G68/(1000*F68))</f>
        <v/>
      </c>
      <c r="P68" s="23" t="str">
        <f aca="false">IF(OR(N68="",O68=""),"",N68+O68)</f>
        <v/>
      </c>
      <c r="Q68" s="23" t="str">
        <f aca="false">IF(OR(M68=""),"",M68*G68/(1000*F68))</f>
        <v/>
      </c>
      <c r="R68" s="23" t="str">
        <f aca="false">IF(OR(N68="",O68=""),"",N68/O68)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14"/>
      <c r="I69" s="14"/>
      <c r="J69" s="14"/>
      <c r="K69" s="23" t="str">
        <f aca="false">IF(OR(H69="",I69=""),"",12.7*H69-2.69*I69)</f>
        <v/>
      </c>
      <c r="L69" s="23" t="str">
        <f aca="false">IF(OR(H69="",I69=""),"",22.9*I69-4.68*H69)</f>
        <v/>
      </c>
      <c r="M69" s="23" t="str">
        <f aca="false">IF(OR(J69="",H69="",I69=""),"",(1000*J69-1.29*K69-53.78*L69)/220)</f>
        <v/>
      </c>
      <c r="N69" s="23" t="str">
        <f aca="false">IF(OR(K69="",F69="",G69=""),"",K69*G69/(1000*F69))</f>
        <v/>
      </c>
      <c r="O69" s="23" t="str">
        <f aca="false">IF(OR(L69="",F69="",G69=""),"",L69*G69/(1000*F69))</f>
        <v/>
      </c>
      <c r="P69" s="23" t="str">
        <f aca="false">IF(OR(N69="",O69=""),"",N69+O69)</f>
        <v/>
      </c>
      <c r="Q69" s="23" t="str">
        <f aca="false">IF(OR(M69=""),"",M69*G69/(1000*F69))</f>
        <v/>
      </c>
      <c r="R69" s="23" t="str">
        <f aca="false">IF(OR(N69="",O69=""),"",N69/O69)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14"/>
      <c r="I70" s="14"/>
      <c r="J70" s="14"/>
      <c r="K70" s="23" t="str">
        <f aca="false">IF(OR(H70="",I70=""),"",12.7*H70-2.69*I70)</f>
        <v/>
      </c>
      <c r="L70" s="23" t="str">
        <f aca="false">IF(OR(H70="",I70=""),"",22.9*I70-4.68*H70)</f>
        <v/>
      </c>
      <c r="M70" s="23" t="str">
        <f aca="false">IF(OR(J70="",H70="",I70=""),"",(1000*J70-1.29*K70-53.78*L70)/220)</f>
        <v/>
      </c>
      <c r="N70" s="23" t="str">
        <f aca="false">IF(OR(K70="",F70="",G70=""),"",K70*G70/(1000*F70))</f>
        <v/>
      </c>
      <c r="O70" s="23" t="str">
        <f aca="false">IF(OR(L70="",F70="",G70=""),"",L70*G70/(1000*F70))</f>
        <v/>
      </c>
      <c r="P70" s="23" t="str">
        <f aca="false">IF(OR(N70="",O70=""),"",N70+O70)</f>
        <v/>
      </c>
      <c r="Q70" s="23" t="str">
        <f aca="false">IF(OR(M70=""),"",M70*G70/(1000*F70))</f>
        <v/>
      </c>
      <c r="R70" s="23" t="str">
        <f aca="false">IF(OR(N70="",O70=""),"",N70/O70)</f>
        <v/>
      </c>
    </row>
  </sheetData>
  <mergeCells count="5">
    <mergeCell ref="A4:E4"/>
    <mergeCell ref="F4:G4"/>
    <mergeCell ref="H4:J4"/>
    <mergeCell ref="K4:M4"/>
    <mergeCell ref="N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29" min="3" style="0" width="12"/>
  </cols>
  <sheetData>
    <row r="1" customFormat="false" ht="16.15" hidden="false" customHeight="false" outlineLevel="0" collapsed="false">
      <c r="A1" s="1" t="s">
        <v>302</v>
      </c>
    </row>
    <row r="2" customFormat="false" ht="15" hidden="false" customHeight="false" outlineLevel="0" collapsed="false">
      <c r="A2" s="2" t="s">
        <v>303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304</v>
      </c>
      <c r="G4" s="16"/>
      <c r="H4" s="16"/>
      <c r="I4" s="16"/>
      <c r="J4" s="16"/>
      <c r="K4" s="16" t="s">
        <v>305</v>
      </c>
      <c r="L4" s="16"/>
      <c r="M4" s="16"/>
      <c r="N4" s="16"/>
      <c r="O4" s="16"/>
      <c r="P4" s="16" t="s">
        <v>306</v>
      </c>
      <c r="Q4" s="16"/>
      <c r="R4" s="16"/>
      <c r="S4" s="16"/>
      <c r="T4" s="16" t="s">
        <v>307</v>
      </c>
      <c r="U4" s="16"/>
      <c r="V4" s="16"/>
      <c r="W4" s="16"/>
      <c r="X4" s="16"/>
      <c r="Y4" s="16" t="s">
        <v>308</v>
      </c>
      <c r="Z4" s="16"/>
      <c r="AA4" s="16"/>
      <c r="AB4" s="16"/>
      <c r="AC4" s="16"/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309</v>
      </c>
      <c r="G5" s="18" t="s">
        <v>310</v>
      </c>
      <c r="H5" s="18" t="s">
        <v>311</v>
      </c>
      <c r="I5" s="18" t="s">
        <v>312</v>
      </c>
      <c r="J5" s="18" t="s">
        <v>313</v>
      </c>
      <c r="K5" s="18" t="s">
        <v>314</v>
      </c>
      <c r="L5" s="18" t="s">
        <v>315</v>
      </c>
      <c r="M5" s="18" t="s">
        <v>316</v>
      </c>
      <c r="N5" s="18" t="s">
        <v>317</v>
      </c>
      <c r="O5" s="18" t="s">
        <v>318</v>
      </c>
      <c r="P5" s="18" t="s">
        <v>319</v>
      </c>
      <c r="Q5" s="18" t="s">
        <v>320</v>
      </c>
      <c r="R5" s="18" t="s">
        <v>321</v>
      </c>
      <c r="S5" s="18" t="s">
        <v>322</v>
      </c>
      <c r="T5" s="18" t="s">
        <v>323</v>
      </c>
      <c r="U5" s="18" t="s">
        <v>324</v>
      </c>
      <c r="V5" s="18" t="s">
        <v>325</v>
      </c>
      <c r="W5" s="18" t="s">
        <v>326</v>
      </c>
      <c r="X5" s="18" t="s">
        <v>327</v>
      </c>
      <c r="Y5" s="18" t="s">
        <v>328</v>
      </c>
      <c r="Z5" s="18" t="s">
        <v>329</v>
      </c>
      <c r="AA5" s="18" t="s">
        <v>330</v>
      </c>
      <c r="AB5" s="18" t="s">
        <v>331</v>
      </c>
      <c r="AC5" s="18" t="s">
        <v>332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0.5</v>
      </c>
      <c r="G6" s="21" t="n">
        <v>0.42</v>
      </c>
      <c r="H6" s="21" t="n">
        <v>4</v>
      </c>
      <c r="I6" s="22" t="str">
        <f aca="false">IF(OR(ISNUMBER(Std_Curves!$B$13)=FALSE()),"",IF(OR(G6=""),"",(G6-Std_Curves!$B$14)/Std_Curves!$B$13))</f>
        <v/>
      </c>
      <c r="J6" s="22" t="str">
        <f aca="false">IF(OR(I6="",H6="",F6=""),"",(I6*H6/115.13)/(F6/5))</f>
        <v/>
      </c>
      <c r="K6" s="21" t="n">
        <v>0.5</v>
      </c>
      <c r="L6" s="21" t="n">
        <v>5</v>
      </c>
      <c r="M6" s="21" t="n">
        <v>0.385</v>
      </c>
      <c r="N6" s="21" t="n">
        <v>0.042</v>
      </c>
      <c r="O6" s="22" t="n">
        <f aca="false">IF(OR(M6="",N6="",K6="",L6=""),"",((M6-N6)/155)*1000*L6/K6)</f>
        <v>22.1290322580645</v>
      </c>
      <c r="P6" s="21" t="n">
        <v>0.5</v>
      </c>
      <c r="Q6" s="21" t="n">
        <v>5</v>
      </c>
      <c r="R6" s="21" t="n">
        <v>0.31</v>
      </c>
      <c r="S6" s="22" t="str">
        <f aca="false">IF(OR(ISNUMBER(Std_Curves!$E$13)=FALSE()),"",IF(OR(R6="",P6="",Q6=""),"",((R6-Std_Curves!$E$14)/Std_Curves!$E$13)*Q6/P6))</f>
        <v/>
      </c>
      <c r="T6" s="21" t="n">
        <v>0.5</v>
      </c>
      <c r="U6" s="21" t="n">
        <v>10</v>
      </c>
      <c r="V6" s="21" t="n">
        <v>1</v>
      </c>
      <c r="W6" s="21" t="n">
        <v>0.455</v>
      </c>
      <c r="X6" s="22" t="str">
        <f aca="false">IF(OR(ISNUMBER(Std_Curves!$K$13)=FALSE()),"",IF(OR(W6="",T6="",U6="",V6=""),"",((W6-Std_Curves!$K$14)/Std_Curves!$K$13)*U6*V6/(T6*1000)))</f>
        <v/>
      </c>
      <c r="Y6" s="21" t="n">
        <v>0.5</v>
      </c>
      <c r="Z6" s="21" t="n">
        <v>5</v>
      </c>
      <c r="AA6" s="21" t="n">
        <v>0.26</v>
      </c>
      <c r="AB6" s="22" t="str">
        <f aca="false">IF(OR(ISNUMBER(Std_Curves!$H$13)=FALSE()),"",IF(OR(AA6=""),"",((AA6-Std_Curves!$H$14)/Std_Curves!$H$13)/1000))</f>
        <v/>
      </c>
      <c r="AC6" s="22" t="str">
        <f aca="false">IF(OR(AB6="",Z6="",Y6=""),"",AB6*Z6/Y6)</f>
        <v/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14"/>
      <c r="I7" s="23" t="str">
        <f aca="false">IF(OR(ISNUMBER(Std_Curves!$B$13)=FALSE()),"",IF(OR(G7=""),"",(G7-Std_Curves!$B$14)/Std_Curves!$B$13))</f>
        <v/>
      </c>
      <c r="J7" s="23" t="str">
        <f aca="false">IF(OR(I7="",H7="",F7=""),"",(I7*H7/115.13)/(F7/5))</f>
        <v/>
      </c>
      <c r="K7" s="14"/>
      <c r="L7" s="14"/>
      <c r="M7" s="14"/>
      <c r="N7" s="14"/>
      <c r="O7" s="23" t="str">
        <f aca="false">IF(OR(M7="",N7="",K7="",L7=""),"",((M7-N7)/155)*1000*L7/K7)</f>
        <v/>
      </c>
      <c r="P7" s="14"/>
      <c r="Q7" s="14"/>
      <c r="R7" s="14"/>
      <c r="S7" s="23" t="str">
        <f aca="false">IF(OR(ISNUMBER(Std_Curves!$E$13)=FALSE()),"",IF(OR(R7="",P7="",Q7=""),"",((R7-Std_Curves!$E$14)/Std_Curves!$E$13)*Q7/P7))</f>
        <v/>
      </c>
      <c r="T7" s="14"/>
      <c r="U7" s="14"/>
      <c r="V7" s="14"/>
      <c r="W7" s="14"/>
      <c r="X7" s="23" t="str">
        <f aca="false">IF(OR(ISNUMBER(Std_Curves!$K$13)=FALSE()),"",IF(OR(W7="",T7="",U7="",V7=""),"",((W7-Std_Curves!$K$14)/Std_Curves!$K$13)*U7*V7/(T7*1000)))</f>
        <v/>
      </c>
      <c r="Y7" s="14"/>
      <c r="Z7" s="14"/>
      <c r="AA7" s="14"/>
      <c r="AB7" s="23" t="str">
        <f aca="false">IF(OR(ISNUMBER(Std_Curves!$H$13)=FALSE()),"",IF(OR(AA7=""),"",((AA7-Std_Curves!$H$14)/Std_Curves!$H$13)/1000))</f>
        <v/>
      </c>
      <c r="AC7" s="23" t="str">
        <f aca="false">IF(OR(AB7="",Z7="",Y7=""),"",AB7*Z7/Y7)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14"/>
      <c r="I8" s="23" t="str">
        <f aca="false">IF(OR(ISNUMBER(Std_Curves!$B$13)=FALSE()),"",IF(OR(G8=""),"",(G8-Std_Curves!$B$14)/Std_Curves!$B$13))</f>
        <v/>
      </c>
      <c r="J8" s="23" t="str">
        <f aca="false">IF(OR(I8="",H8="",F8=""),"",(I8*H8/115.13)/(F8/5))</f>
        <v/>
      </c>
      <c r="K8" s="14"/>
      <c r="L8" s="14"/>
      <c r="M8" s="14"/>
      <c r="N8" s="14"/>
      <c r="O8" s="23" t="str">
        <f aca="false">IF(OR(M8="",N8="",K8="",L8=""),"",((M8-N8)/155)*1000*L8/K8)</f>
        <v/>
      </c>
      <c r="P8" s="14"/>
      <c r="Q8" s="14"/>
      <c r="R8" s="14"/>
      <c r="S8" s="23" t="str">
        <f aca="false">IF(OR(ISNUMBER(Std_Curves!$E$13)=FALSE()),"",IF(OR(R8="",P8="",Q8=""),"",((R8-Std_Curves!$E$14)/Std_Curves!$E$13)*Q8/P8))</f>
        <v/>
      </c>
      <c r="T8" s="14"/>
      <c r="U8" s="14"/>
      <c r="V8" s="14"/>
      <c r="W8" s="14"/>
      <c r="X8" s="23" t="str">
        <f aca="false">IF(OR(ISNUMBER(Std_Curves!$K$13)=FALSE()),"",IF(OR(W8="",T8="",U8="",V8=""),"",((W8-Std_Curves!$K$14)/Std_Curves!$K$13)*U8*V8/(T8*1000)))</f>
        <v/>
      </c>
      <c r="Y8" s="14"/>
      <c r="Z8" s="14"/>
      <c r="AA8" s="14"/>
      <c r="AB8" s="23" t="str">
        <f aca="false">IF(OR(ISNUMBER(Std_Curves!$H$13)=FALSE()),"",IF(OR(AA8=""),"",((AA8-Std_Curves!$H$14)/Std_Curves!$H$13)/1000))</f>
        <v/>
      </c>
      <c r="AC8" s="23" t="str">
        <f aca="false">IF(OR(AB8="",Z8="",Y8=""),"",AB8*Z8/Y8)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14"/>
      <c r="I9" s="23" t="str">
        <f aca="false">IF(OR(ISNUMBER(Std_Curves!$B$13)=FALSE()),"",IF(OR(G9=""),"",(G9-Std_Curves!$B$14)/Std_Curves!$B$13))</f>
        <v/>
      </c>
      <c r="J9" s="23" t="str">
        <f aca="false">IF(OR(I9="",H9="",F9=""),"",(I9*H9/115.13)/(F9/5))</f>
        <v/>
      </c>
      <c r="K9" s="14"/>
      <c r="L9" s="14"/>
      <c r="M9" s="14"/>
      <c r="N9" s="14"/>
      <c r="O9" s="23" t="str">
        <f aca="false">IF(OR(M9="",N9="",K9="",L9=""),"",((M9-N9)/155)*1000*L9/K9)</f>
        <v/>
      </c>
      <c r="P9" s="14"/>
      <c r="Q9" s="14"/>
      <c r="R9" s="14"/>
      <c r="S9" s="23" t="str">
        <f aca="false">IF(OR(ISNUMBER(Std_Curves!$E$13)=FALSE()),"",IF(OR(R9="",P9="",Q9=""),"",((R9-Std_Curves!$E$14)/Std_Curves!$E$13)*Q9/P9))</f>
        <v/>
      </c>
      <c r="T9" s="14"/>
      <c r="U9" s="14"/>
      <c r="V9" s="14"/>
      <c r="W9" s="14"/>
      <c r="X9" s="23" t="str">
        <f aca="false">IF(OR(ISNUMBER(Std_Curves!$K$13)=FALSE()),"",IF(OR(W9="",T9="",U9="",V9=""),"",((W9-Std_Curves!$K$14)/Std_Curves!$K$13)*U9*V9/(T9*1000)))</f>
        <v/>
      </c>
      <c r="Y9" s="14"/>
      <c r="Z9" s="14"/>
      <c r="AA9" s="14"/>
      <c r="AB9" s="23" t="str">
        <f aca="false">IF(OR(ISNUMBER(Std_Curves!$H$13)=FALSE()),"",IF(OR(AA9=""),"",((AA9-Std_Curves!$H$14)/Std_Curves!$H$13)/1000))</f>
        <v/>
      </c>
      <c r="AC9" s="23" t="str">
        <f aca="false">IF(OR(AB9="",Z9="",Y9=""),"",AB9*Z9/Y9)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14"/>
      <c r="I10" s="23" t="str">
        <f aca="false">IF(OR(ISNUMBER(Std_Curves!$B$13)=FALSE()),"",IF(OR(G10=""),"",(G10-Std_Curves!$B$14)/Std_Curves!$B$13))</f>
        <v/>
      </c>
      <c r="J10" s="23" t="str">
        <f aca="false">IF(OR(I10="",H10="",F10=""),"",(I10*H10/115.13)/(F10/5))</f>
        <v/>
      </c>
      <c r="K10" s="14"/>
      <c r="L10" s="14"/>
      <c r="M10" s="14"/>
      <c r="N10" s="14"/>
      <c r="O10" s="23" t="str">
        <f aca="false">IF(OR(M10="",N10="",K10="",L10=""),"",((M10-N10)/155)*1000*L10/K10)</f>
        <v/>
      </c>
      <c r="P10" s="14"/>
      <c r="Q10" s="14"/>
      <c r="R10" s="14"/>
      <c r="S10" s="23" t="str">
        <f aca="false">IF(OR(ISNUMBER(Std_Curves!$E$13)=FALSE()),"",IF(OR(R10="",P10="",Q10=""),"",((R10-Std_Curves!$E$14)/Std_Curves!$E$13)*Q10/P10))</f>
        <v/>
      </c>
      <c r="T10" s="14"/>
      <c r="U10" s="14"/>
      <c r="V10" s="14"/>
      <c r="W10" s="14"/>
      <c r="X10" s="23" t="str">
        <f aca="false">IF(OR(ISNUMBER(Std_Curves!$K$13)=FALSE()),"",IF(OR(W10="",T10="",U10="",V10=""),"",((W10-Std_Curves!$K$14)/Std_Curves!$K$13)*U10*V10/(T10*1000)))</f>
        <v/>
      </c>
      <c r="Y10" s="14"/>
      <c r="Z10" s="14"/>
      <c r="AA10" s="14"/>
      <c r="AB10" s="23" t="str">
        <f aca="false">IF(OR(ISNUMBER(Std_Curves!$H$13)=FALSE()),"",IF(OR(AA10=""),"",((AA10-Std_Curves!$H$14)/Std_Curves!$H$13)/1000))</f>
        <v/>
      </c>
      <c r="AC10" s="23" t="str">
        <f aca="false">IF(OR(AB10="",Z10="",Y10=""),"",AB10*Z10/Y10)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14"/>
      <c r="I11" s="23" t="str">
        <f aca="false">IF(OR(ISNUMBER(Std_Curves!$B$13)=FALSE()),"",IF(OR(G11=""),"",(G11-Std_Curves!$B$14)/Std_Curves!$B$13))</f>
        <v/>
      </c>
      <c r="J11" s="23" t="str">
        <f aca="false">IF(OR(I11="",H11="",F11=""),"",(I11*H11/115.13)/(F11/5))</f>
        <v/>
      </c>
      <c r="K11" s="14"/>
      <c r="L11" s="14"/>
      <c r="M11" s="14"/>
      <c r="N11" s="14"/>
      <c r="O11" s="23" t="str">
        <f aca="false">IF(OR(M11="",N11="",K11="",L11=""),"",((M11-N11)/155)*1000*L11/K11)</f>
        <v/>
      </c>
      <c r="P11" s="14"/>
      <c r="Q11" s="14"/>
      <c r="R11" s="14"/>
      <c r="S11" s="23" t="str">
        <f aca="false">IF(OR(ISNUMBER(Std_Curves!$E$13)=FALSE()),"",IF(OR(R11="",P11="",Q11=""),"",((R11-Std_Curves!$E$14)/Std_Curves!$E$13)*Q11/P11))</f>
        <v/>
      </c>
      <c r="T11" s="14"/>
      <c r="U11" s="14"/>
      <c r="V11" s="14"/>
      <c r="W11" s="14"/>
      <c r="X11" s="23" t="str">
        <f aca="false">IF(OR(ISNUMBER(Std_Curves!$K$13)=FALSE()),"",IF(OR(W11="",T11="",U11="",V11=""),"",((W11-Std_Curves!$K$14)/Std_Curves!$K$13)*U11*V11/(T11*1000)))</f>
        <v/>
      </c>
      <c r="Y11" s="14"/>
      <c r="Z11" s="14"/>
      <c r="AA11" s="14"/>
      <c r="AB11" s="23" t="str">
        <f aca="false">IF(OR(ISNUMBER(Std_Curves!$H$13)=FALSE()),"",IF(OR(AA11=""),"",((AA11-Std_Curves!$H$14)/Std_Curves!$H$13)/1000))</f>
        <v/>
      </c>
      <c r="AC11" s="23" t="str">
        <f aca="false">IF(OR(AB11="",Z11="",Y11=""),"",AB11*Z11/Y11)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14"/>
      <c r="I12" s="23" t="str">
        <f aca="false">IF(OR(ISNUMBER(Std_Curves!$B$13)=FALSE()),"",IF(OR(G12=""),"",(G12-Std_Curves!$B$14)/Std_Curves!$B$13))</f>
        <v/>
      </c>
      <c r="J12" s="23" t="str">
        <f aca="false">IF(OR(I12="",H12="",F12=""),"",(I12*H12/115.13)/(F12/5))</f>
        <v/>
      </c>
      <c r="K12" s="14"/>
      <c r="L12" s="14"/>
      <c r="M12" s="14"/>
      <c r="N12" s="14"/>
      <c r="O12" s="23" t="str">
        <f aca="false">IF(OR(M12="",N12="",K12="",L12=""),"",((M12-N12)/155)*1000*L12/K12)</f>
        <v/>
      </c>
      <c r="P12" s="14"/>
      <c r="Q12" s="14"/>
      <c r="R12" s="14"/>
      <c r="S12" s="23" t="str">
        <f aca="false">IF(OR(ISNUMBER(Std_Curves!$E$13)=FALSE()),"",IF(OR(R12="",P12="",Q12=""),"",((R12-Std_Curves!$E$14)/Std_Curves!$E$13)*Q12/P12))</f>
        <v/>
      </c>
      <c r="T12" s="14"/>
      <c r="U12" s="14"/>
      <c r="V12" s="14"/>
      <c r="W12" s="14"/>
      <c r="X12" s="23" t="str">
        <f aca="false">IF(OR(ISNUMBER(Std_Curves!$K$13)=FALSE()),"",IF(OR(W12="",T12="",U12="",V12=""),"",((W12-Std_Curves!$K$14)/Std_Curves!$K$13)*U12*V12/(T12*1000)))</f>
        <v/>
      </c>
      <c r="Y12" s="14"/>
      <c r="Z12" s="14"/>
      <c r="AA12" s="14"/>
      <c r="AB12" s="23" t="str">
        <f aca="false">IF(OR(ISNUMBER(Std_Curves!$H$13)=FALSE()),"",IF(OR(AA12=""),"",((AA12-Std_Curves!$H$14)/Std_Curves!$H$13)/1000))</f>
        <v/>
      </c>
      <c r="AC12" s="23" t="str">
        <f aca="false">IF(OR(AB12="",Z12="",Y12=""),"",AB12*Z12/Y12)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14"/>
      <c r="I13" s="23" t="str">
        <f aca="false">IF(OR(ISNUMBER(Std_Curves!$B$13)=FALSE()),"",IF(OR(G13=""),"",(G13-Std_Curves!$B$14)/Std_Curves!$B$13))</f>
        <v/>
      </c>
      <c r="J13" s="23" t="str">
        <f aca="false">IF(OR(I13="",H13="",F13=""),"",(I13*H13/115.13)/(F13/5))</f>
        <v/>
      </c>
      <c r="K13" s="14"/>
      <c r="L13" s="14"/>
      <c r="M13" s="14"/>
      <c r="N13" s="14"/>
      <c r="O13" s="23" t="str">
        <f aca="false">IF(OR(M13="",N13="",K13="",L13=""),"",((M13-N13)/155)*1000*L13/K13)</f>
        <v/>
      </c>
      <c r="P13" s="14"/>
      <c r="Q13" s="14"/>
      <c r="R13" s="14"/>
      <c r="S13" s="23" t="str">
        <f aca="false">IF(OR(ISNUMBER(Std_Curves!$E$13)=FALSE()),"",IF(OR(R13="",P13="",Q13=""),"",((R13-Std_Curves!$E$14)/Std_Curves!$E$13)*Q13/P13))</f>
        <v/>
      </c>
      <c r="T13" s="14"/>
      <c r="U13" s="14"/>
      <c r="V13" s="14"/>
      <c r="W13" s="14"/>
      <c r="X13" s="23" t="str">
        <f aca="false">IF(OR(ISNUMBER(Std_Curves!$K$13)=FALSE()),"",IF(OR(W13="",T13="",U13="",V13=""),"",((W13-Std_Curves!$K$14)/Std_Curves!$K$13)*U13*V13/(T13*1000)))</f>
        <v/>
      </c>
      <c r="Y13" s="14"/>
      <c r="Z13" s="14"/>
      <c r="AA13" s="14"/>
      <c r="AB13" s="23" t="str">
        <f aca="false">IF(OR(ISNUMBER(Std_Curves!$H$13)=FALSE()),"",IF(OR(AA13=""),"",((AA13-Std_Curves!$H$14)/Std_Curves!$H$13)/1000))</f>
        <v/>
      </c>
      <c r="AC13" s="23" t="str">
        <f aca="false">IF(OR(AB13="",Z13="",Y13=""),"",AB13*Z13/Y13)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14"/>
      <c r="I14" s="23" t="str">
        <f aca="false">IF(OR(ISNUMBER(Std_Curves!$B$13)=FALSE()),"",IF(OR(G14=""),"",(G14-Std_Curves!$B$14)/Std_Curves!$B$13))</f>
        <v/>
      </c>
      <c r="J14" s="23" t="str">
        <f aca="false">IF(OR(I14="",H14="",F14=""),"",(I14*H14/115.13)/(F14/5))</f>
        <v/>
      </c>
      <c r="K14" s="14"/>
      <c r="L14" s="14"/>
      <c r="M14" s="14"/>
      <c r="N14" s="14"/>
      <c r="O14" s="23" t="str">
        <f aca="false">IF(OR(M14="",N14="",K14="",L14=""),"",((M14-N14)/155)*1000*L14/K14)</f>
        <v/>
      </c>
      <c r="P14" s="14"/>
      <c r="Q14" s="14"/>
      <c r="R14" s="14"/>
      <c r="S14" s="23" t="str">
        <f aca="false">IF(OR(ISNUMBER(Std_Curves!$E$13)=FALSE()),"",IF(OR(R14="",P14="",Q14=""),"",((R14-Std_Curves!$E$14)/Std_Curves!$E$13)*Q14/P14))</f>
        <v/>
      </c>
      <c r="T14" s="14"/>
      <c r="U14" s="14"/>
      <c r="V14" s="14"/>
      <c r="W14" s="14"/>
      <c r="X14" s="23" t="str">
        <f aca="false">IF(OR(ISNUMBER(Std_Curves!$K$13)=FALSE()),"",IF(OR(W14="",T14="",U14="",V14=""),"",((W14-Std_Curves!$K$14)/Std_Curves!$K$13)*U14*V14/(T14*1000)))</f>
        <v/>
      </c>
      <c r="Y14" s="14"/>
      <c r="Z14" s="14"/>
      <c r="AA14" s="14"/>
      <c r="AB14" s="23" t="str">
        <f aca="false">IF(OR(ISNUMBER(Std_Curves!$H$13)=FALSE()),"",IF(OR(AA14=""),"",((AA14-Std_Curves!$H$14)/Std_Curves!$H$13)/1000))</f>
        <v/>
      </c>
      <c r="AC14" s="23" t="str">
        <f aca="false">IF(OR(AB14="",Z14="",Y14=""),"",AB14*Z14/Y14)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14"/>
      <c r="I15" s="23" t="str">
        <f aca="false">IF(OR(ISNUMBER(Std_Curves!$B$13)=FALSE()),"",IF(OR(G15=""),"",(G15-Std_Curves!$B$14)/Std_Curves!$B$13))</f>
        <v/>
      </c>
      <c r="J15" s="23" t="str">
        <f aca="false">IF(OR(I15="",H15="",F15=""),"",(I15*H15/115.13)/(F15/5))</f>
        <v/>
      </c>
      <c r="K15" s="14"/>
      <c r="L15" s="14"/>
      <c r="M15" s="14"/>
      <c r="N15" s="14"/>
      <c r="O15" s="23" t="str">
        <f aca="false">IF(OR(M15="",N15="",K15="",L15=""),"",((M15-N15)/155)*1000*L15/K15)</f>
        <v/>
      </c>
      <c r="P15" s="14"/>
      <c r="Q15" s="14"/>
      <c r="R15" s="14"/>
      <c r="S15" s="23" t="str">
        <f aca="false">IF(OR(ISNUMBER(Std_Curves!$E$13)=FALSE()),"",IF(OR(R15="",P15="",Q15=""),"",((R15-Std_Curves!$E$14)/Std_Curves!$E$13)*Q15/P15))</f>
        <v/>
      </c>
      <c r="T15" s="14"/>
      <c r="U15" s="14"/>
      <c r="V15" s="14"/>
      <c r="W15" s="14"/>
      <c r="X15" s="23" t="str">
        <f aca="false">IF(OR(ISNUMBER(Std_Curves!$K$13)=FALSE()),"",IF(OR(W15="",T15="",U15="",V15=""),"",((W15-Std_Curves!$K$14)/Std_Curves!$K$13)*U15*V15/(T15*1000)))</f>
        <v/>
      </c>
      <c r="Y15" s="14"/>
      <c r="Z15" s="14"/>
      <c r="AA15" s="14"/>
      <c r="AB15" s="23" t="str">
        <f aca="false">IF(OR(ISNUMBER(Std_Curves!$H$13)=FALSE()),"",IF(OR(AA15=""),"",((AA15-Std_Curves!$H$14)/Std_Curves!$H$13)/1000))</f>
        <v/>
      </c>
      <c r="AC15" s="23" t="str">
        <f aca="false">IF(OR(AB15="",Z15="",Y15=""),"",AB15*Z15/Y15)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14"/>
      <c r="I16" s="23" t="str">
        <f aca="false">IF(OR(ISNUMBER(Std_Curves!$B$13)=FALSE()),"",IF(OR(G16=""),"",(G16-Std_Curves!$B$14)/Std_Curves!$B$13))</f>
        <v/>
      </c>
      <c r="J16" s="23" t="str">
        <f aca="false">IF(OR(I16="",H16="",F16=""),"",(I16*H16/115.13)/(F16/5))</f>
        <v/>
      </c>
      <c r="K16" s="14"/>
      <c r="L16" s="14"/>
      <c r="M16" s="14"/>
      <c r="N16" s="14"/>
      <c r="O16" s="23" t="str">
        <f aca="false">IF(OR(M16="",N16="",K16="",L16=""),"",((M16-N16)/155)*1000*L16/K16)</f>
        <v/>
      </c>
      <c r="P16" s="14"/>
      <c r="Q16" s="14"/>
      <c r="R16" s="14"/>
      <c r="S16" s="23" t="str">
        <f aca="false">IF(OR(ISNUMBER(Std_Curves!$E$13)=FALSE()),"",IF(OR(R16="",P16="",Q16=""),"",((R16-Std_Curves!$E$14)/Std_Curves!$E$13)*Q16/P16))</f>
        <v/>
      </c>
      <c r="T16" s="14"/>
      <c r="U16" s="14"/>
      <c r="V16" s="14"/>
      <c r="W16" s="14"/>
      <c r="X16" s="23" t="str">
        <f aca="false">IF(OR(ISNUMBER(Std_Curves!$K$13)=FALSE()),"",IF(OR(W16="",T16="",U16="",V16=""),"",((W16-Std_Curves!$K$14)/Std_Curves!$K$13)*U16*V16/(T16*1000)))</f>
        <v/>
      </c>
      <c r="Y16" s="14"/>
      <c r="Z16" s="14"/>
      <c r="AA16" s="14"/>
      <c r="AB16" s="23" t="str">
        <f aca="false">IF(OR(ISNUMBER(Std_Curves!$H$13)=FALSE()),"",IF(OR(AA16=""),"",((AA16-Std_Curves!$H$14)/Std_Curves!$H$13)/1000))</f>
        <v/>
      </c>
      <c r="AC16" s="23" t="str">
        <f aca="false">IF(OR(AB16="",Z16="",Y16=""),"",AB16*Z16/Y16)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14"/>
      <c r="I17" s="23" t="str">
        <f aca="false">IF(OR(ISNUMBER(Std_Curves!$B$13)=FALSE()),"",IF(OR(G17=""),"",(G17-Std_Curves!$B$14)/Std_Curves!$B$13))</f>
        <v/>
      </c>
      <c r="J17" s="23" t="str">
        <f aca="false">IF(OR(I17="",H17="",F17=""),"",(I17*H17/115.13)/(F17/5))</f>
        <v/>
      </c>
      <c r="K17" s="14"/>
      <c r="L17" s="14"/>
      <c r="M17" s="14"/>
      <c r="N17" s="14"/>
      <c r="O17" s="23" t="str">
        <f aca="false">IF(OR(M17="",N17="",K17="",L17=""),"",((M17-N17)/155)*1000*L17/K17)</f>
        <v/>
      </c>
      <c r="P17" s="14"/>
      <c r="Q17" s="14"/>
      <c r="R17" s="14"/>
      <c r="S17" s="23" t="str">
        <f aca="false">IF(OR(ISNUMBER(Std_Curves!$E$13)=FALSE()),"",IF(OR(R17="",P17="",Q17=""),"",((R17-Std_Curves!$E$14)/Std_Curves!$E$13)*Q17/P17))</f>
        <v/>
      </c>
      <c r="T17" s="14"/>
      <c r="U17" s="14"/>
      <c r="V17" s="14"/>
      <c r="W17" s="14"/>
      <c r="X17" s="23" t="str">
        <f aca="false">IF(OR(ISNUMBER(Std_Curves!$K$13)=FALSE()),"",IF(OR(W17="",T17="",U17="",V17=""),"",((W17-Std_Curves!$K$14)/Std_Curves!$K$13)*U17*V17/(T17*1000)))</f>
        <v/>
      </c>
      <c r="Y17" s="14"/>
      <c r="Z17" s="14"/>
      <c r="AA17" s="14"/>
      <c r="AB17" s="23" t="str">
        <f aca="false">IF(OR(ISNUMBER(Std_Curves!$H$13)=FALSE()),"",IF(OR(AA17=""),"",((AA17-Std_Curves!$H$14)/Std_Curves!$H$13)/1000))</f>
        <v/>
      </c>
      <c r="AC17" s="23" t="str">
        <f aca="false">IF(OR(AB17="",Z17="",Y17=""),"",AB17*Z17/Y17)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14"/>
      <c r="I18" s="23" t="str">
        <f aca="false">IF(OR(ISNUMBER(Std_Curves!$B$13)=FALSE()),"",IF(OR(G18=""),"",(G18-Std_Curves!$B$14)/Std_Curves!$B$13))</f>
        <v/>
      </c>
      <c r="J18" s="23" t="str">
        <f aca="false">IF(OR(I18="",H18="",F18=""),"",(I18*H18/115.13)/(F18/5))</f>
        <v/>
      </c>
      <c r="K18" s="14"/>
      <c r="L18" s="14"/>
      <c r="M18" s="14"/>
      <c r="N18" s="14"/>
      <c r="O18" s="23" t="str">
        <f aca="false">IF(OR(M18="",N18="",K18="",L18=""),"",((M18-N18)/155)*1000*L18/K18)</f>
        <v/>
      </c>
      <c r="P18" s="14"/>
      <c r="Q18" s="14"/>
      <c r="R18" s="14"/>
      <c r="S18" s="23" t="str">
        <f aca="false">IF(OR(ISNUMBER(Std_Curves!$E$13)=FALSE()),"",IF(OR(R18="",P18="",Q18=""),"",((R18-Std_Curves!$E$14)/Std_Curves!$E$13)*Q18/P18))</f>
        <v/>
      </c>
      <c r="T18" s="14"/>
      <c r="U18" s="14"/>
      <c r="V18" s="14"/>
      <c r="W18" s="14"/>
      <c r="X18" s="23" t="str">
        <f aca="false">IF(OR(ISNUMBER(Std_Curves!$K$13)=FALSE()),"",IF(OR(W18="",T18="",U18="",V18=""),"",((W18-Std_Curves!$K$14)/Std_Curves!$K$13)*U18*V18/(T18*1000)))</f>
        <v/>
      </c>
      <c r="Y18" s="14"/>
      <c r="Z18" s="14"/>
      <c r="AA18" s="14"/>
      <c r="AB18" s="23" t="str">
        <f aca="false">IF(OR(ISNUMBER(Std_Curves!$H$13)=FALSE()),"",IF(OR(AA18=""),"",((AA18-Std_Curves!$H$14)/Std_Curves!$H$13)/1000))</f>
        <v/>
      </c>
      <c r="AC18" s="23" t="str">
        <f aca="false">IF(OR(AB18="",Z18="",Y18=""),"",AB18*Z18/Y18)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14"/>
      <c r="I19" s="23" t="str">
        <f aca="false">IF(OR(ISNUMBER(Std_Curves!$B$13)=FALSE()),"",IF(OR(G19=""),"",(G19-Std_Curves!$B$14)/Std_Curves!$B$13))</f>
        <v/>
      </c>
      <c r="J19" s="23" t="str">
        <f aca="false">IF(OR(I19="",H19="",F19=""),"",(I19*H19/115.13)/(F19/5))</f>
        <v/>
      </c>
      <c r="K19" s="14"/>
      <c r="L19" s="14"/>
      <c r="M19" s="14"/>
      <c r="N19" s="14"/>
      <c r="O19" s="23" t="str">
        <f aca="false">IF(OR(M19="",N19="",K19="",L19=""),"",((M19-N19)/155)*1000*L19/K19)</f>
        <v/>
      </c>
      <c r="P19" s="14"/>
      <c r="Q19" s="14"/>
      <c r="R19" s="14"/>
      <c r="S19" s="23" t="str">
        <f aca="false">IF(OR(ISNUMBER(Std_Curves!$E$13)=FALSE()),"",IF(OR(R19="",P19="",Q19=""),"",((R19-Std_Curves!$E$14)/Std_Curves!$E$13)*Q19/P19))</f>
        <v/>
      </c>
      <c r="T19" s="14"/>
      <c r="U19" s="14"/>
      <c r="V19" s="14"/>
      <c r="W19" s="14"/>
      <c r="X19" s="23" t="str">
        <f aca="false">IF(OR(ISNUMBER(Std_Curves!$K$13)=FALSE()),"",IF(OR(W19="",T19="",U19="",V19=""),"",((W19-Std_Curves!$K$14)/Std_Curves!$K$13)*U19*V19/(T19*1000)))</f>
        <v/>
      </c>
      <c r="Y19" s="14"/>
      <c r="Z19" s="14"/>
      <c r="AA19" s="14"/>
      <c r="AB19" s="23" t="str">
        <f aca="false">IF(OR(ISNUMBER(Std_Curves!$H$13)=FALSE()),"",IF(OR(AA19=""),"",((AA19-Std_Curves!$H$14)/Std_Curves!$H$13)/1000))</f>
        <v/>
      </c>
      <c r="AC19" s="23" t="str">
        <f aca="false">IF(OR(AB19="",Z19="",Y19=""),"",AB19*Z19/Y19)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14"/>
      <c r="I20" s="23" t="str">
        <f aca="false">IF(OR(ISNUMBER(Std_Curves!$B$13)=FALSE()),"",IF(OR(G20=""),"",(G20-Std_Curves!$B$14)/Std_Curves!$B$13))</f>
        <v/>
      </c>
      <c r="J20" s="23" t="str">
        <f aca="false">IF(OR(I20="",H20="",F20=""),"",(I20*H20/115.13)/(F20/5))</f>
        <v/>
      </c>
      <c r="K20" s="14"/>
      <c r="L20" s="14"/>
      <c r="M20" s="14"/>
      <c r="N20" s="14"/>
      <c r="O20" s="23" t="str">
        <f aca="false">IF(OR(M20="",N20="",K20="",L20=""),"",((M20-N20)/155)*1000*L20/K20)</f>
        <v/>
      </c>
      <c r="P20" s="14"/>
      <c r="Q20" s="14"/>
      <c r="R20" s="14"/>
      <c r="S20" s="23" t="str">
        <f aca="false">IF(OR(ISNUMBER(Std_Curves!$E$13)=FALSE()),"",IF(OR(R20="",P20="",Q20=""),"",((R20-Std_Curves!$E$14)/Std_Curves!$E$13)*Q20/P20))</f>
        <v/>
      </c>
      <c r="T20" s="14"/>
      <c r="U20" s="14"/>
      <c r="V20" s="14"/>
      <c r="W20" s="14"/>
      <c r="X20" s="23" t="str">
        <f aca="false">IF(OR(ISNUMBER(Std_Curves!$K$13)=FALSE()),"",IF(OR(W20="",T20="",U20="",V20=""),"",((W20-Std_Curves!$K$14)/Std_Curves!$K$13)*U20*V20/(T20*1000)))</f>
        <v/>
      </c>
      <c r="Y20" s="14"/>
      <c r="Z20" s="14"/>
      <c r="AA20" s="14"/>
      <c r="AB20" s="23" t="str">
        <f aca="false">IF(OR(ISNUMBER(Std_Curves!$H$13)=FALSE()),"",IF(OR(AA20=""),"",((AA20-Std_Curves!$H$14)/Std_Curves!$H$13)/1000))</f>
        <v/>
      </c>
      <c r="AC20" s="23" t="str">
        <f aca="false">IF(OR(AB20="",Z20="",Y20=""),"",AB20*Z20/Y20)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14"/>
      <c r="I21" s="23" t="str">
        <f aca="false">IF(OR(ISNUMBER(Std_Curves!$B$13)=FALSE()),"",IF(OR(G21=""),"",(G21-Std_Curves!$B$14)/Std_Curves!$B$13))</f>
        <v/>
      </c>
      <c r="J21" s="23" t="str">
        <f aca="false">IF(OR(I21="",H21="",F21=""),"",(I21*H21/115.13)/(F21/5))</f>
        <v/>
      </c>
      <c r="K21" s="14"/>
      <c r="L21" s="14"/>
      <c r="M21" s="14"/>
      <c r="N21" s="14"/>
      <c r="O21" s="23" t="str">
        <f aca="false">IF(OR(M21="",N21="",K21="",L21=""),"",((M21-N21)/155)*1000*L21/K21)</f>
        <v/>
      </c>
      <c r="P21" s="14"/>
      <c r="Q21" s="14"/>
      <c r="R21" s="14"/>
      <c r="S21" s="23" t="str">
        <f aca="false">IF(OR(ISNUMBER(Std_Curves!$E$13)=FALSE()),"",IF(OR(R21="",P21="",Q21=""),"",((R21-Std_Curves!$E$14)/Std_Curves!$E$13)*Q21/P21))</f>
        <v/>
      </c>
      <c r="T21" s="14"/>
      <c r="U21" s="14"/>
      <c r="V21" s="14"/>
      <c r="W21" s="14"/>
      <c r="X21" s="23" t="str">
        <f aca="false">IF(OR(ISNUMBER(Std_Curves!$K$13)=FALSE()),"",IF(OR(W21="",T21="",U21="",V21=""),"",((W21-Std_Curves!$K$14)/Std_Curves!$K$13)*U21*V21/(T21*1000)))</f>
        <v/>
      </c>
      <c r="Y21" s="14"/>
      <c r="Z21" s="14"/>
      <c r="AA21" s="14"/>
      <c r="AB21" s="23" t="str">
        <f aca="false">IF(OR(ISNUMBER(Std_Curves!$H$13)=FALSE()),"",IF(OR(AA21=""),"",((AA21-Std_Curves!$H$14)/Std_Curves!$H$13)/1000))</f>
        <v/>
      </c>
      <c r="AC21" s="23" t="str">
        <f aca="false">IF(OR(AB21="",Z21="",Y21=""),"",AB21*Z21/Y21)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14"/>
      <c r="I22" s="23" t="str">
        <f aca="false">IF(OR(ISNUMBER(Std_Curves!$B$13)=FALSE()),"",IF(OR(G22=""),"",(G22-Std_Curves!$B$14)/Std_Curves!$B$13))</f>
        <v/>
      </c>
      <c r="J22" s="23" t="str">
        <f aca="false">IF(OR(I22="",H22="",F22=""),"",(I22*H22/115.13)/(F22/5))</f>
        <v/>
      </c>
      <c r="K22" s="14"/>
      <c r="L22" s="14"/>
      <c r="M22" s="14"/>
      <c r="N22" s="14"/>
      <c r="O22" s="23" t="str">
        <f aca="false">IF(OR(M22="",N22="",K22="",L22=""),"",((M22-N22)/155)*1000*L22/K22)</f>
        <v/>
      </c>
      <c r="P22" s="14"/>
      <c r="Q22" s="14"/>
      <c r="R22" s="14"/>
      <c r="S22" s="23" t="str">
        <f aca="false">IF(OR(ISNUMBER(Std_Curves!$E$13)=FALSE()),"",IF(OR(R22="",P22="",Q22=""),"",((R22-Std_Curves!$E$14)/Std_Curves!$E$13)*Q22/P22))</f>
        <v/>
      </c>
      <c r="T22" s="14"/>
      <c r="U22" s="14"/>
      <c r="V22" s="14"/>
      <c r="W22" s="14"/>
      <c r="X22" s="23" t="str">
        <f aca="false">IF(OR(ISNUMBER(Std_Curves!$K$13)=FALSE()),"",IF(OR(W22="",T22="",U22="",V22=""),"",((W22-Std_Curves!$K$14)/Std_Curves!$K$13)*U22*V22/(T22*1000)))</f>
        <v/>
      </c>
      <c r="Y22" s="14"/>
      <c r="Z22" s="14"/>
      <c r="AA22" s="14"/>
      <c r="AB22" s="23" t="str">
        <f aca="false">IF(OR(ISNUMBER(Std_Curves!$H$13)=FALSE()),"",IF(OR(AA22=""),"",((AA22-Std_Curves!$H$14)/Std_Curves!$H$13)/1000))</f>
        <v/>
      </c>
      <c r="AC22" s="23" t="str">
        <f aca="false">IF(OR(AB22="",Z22="",Y22=""),"",AB22*Z22/Y22)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14"/>
      <c r="I23" s="23" t="str">
        <f aca="false">IF(OR(ISNUMBER(Std_Curves!$B$13)=FALSE()),"",IF(OR(G23=""),"",(G23-Std_Curves!$B$14)/Std_Curves!$B$13))</f>
        <v/>
      </c>
      <c r="J23" s="23" t="str">
        <f aca="false">IF(OR(I23="",H23="",F23=""),"",(I23*H23/115.13)/(F23/5))</f>
        <v/>
      </c>
      <c r="K23" s="14"/>
      <c r="L23" s="14"/>
      <c r="M23" s="14"/>
      <c r="N23" s="14"/>
      <c r="O23" s="23" t="str">
        <f aca="false">IF(OR(M23="",N23="",K23="",L23=""),"",((M23-N23)/155)*1000*L23/K23)</f>
        <v/>
      </c>
      <c r="P23" s="14"/>
      <c r="Q23" s="14"/>
      <c r="R23" s="14"/>
      <c r="S23" s="23" t="str">
        <f aca="false">IF(OR(ISNUMBER(Std_Curves!$E$13)=FALSE()),"",IF(OR(R23="",P23="",Q23=""),"",((R23-Std_Curves!$E$14)/Std_Curves!$E$13)*Q23/P23))</f>
        <v/>
      </c>
      <c r="T23" s="14"/>
      <c r="U23" s="14"/>
      <c r="V23" s="14"/>
      <c r="W23" s="14"/>
      <c r="X23" s="23" t="str">
        <f aca="false">IF(OR(ISNUMBER(Std_Curves!$K$13)=FALSE()),"",IF(OR(W23="",T23="",U23="",V23=""),"",((W23-Std_Curves!$K$14)/Std_Curves!$K$13)*U23*V23/(T23*1000)))</f>
        <v/>
      </c>
      <c r="Y23" s="14"/>
      <c r="Z23" s="14"/>
      <c r="AA23" s="14"/>
      <c r="AB23" s="23" t="str">
        <f aca="false">IF(OR(ISNUMBER(Std_Curves!$H$13)=FALSE()),"",IF(OR(AA23=""),"",((AA23-Std_Curves!$H$14)/Std_Curves!$H$13)/1000))</f>
        <v/>
      </c>
      <c r="AC23" s="23" t="str">
        <f aca="false">IF(OR(AB23="",Z23="",Y23=""),"",AB23*Z23/Y23)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14"/>
      <c r="I24" s="23" t="str">
        <f aca="false">IF(OR(ISNUMBER(Std_Curves!$B$13)=FALSE()),"",IF(OR(G24=""),"",(G24-Std_Curves!$B$14)/Std_Curves!$B$13))</f>
        <v/>
      </c>
      <c r="J24" s="23" t="str">
        <f aca="false">IF(OR(I24="",H24="",F24=""),"",(I24*H24/115.13)/(F24/5))</f>
        <v/>
      </c>
      <c r="K24" s="14"/>
      <c r="L24" s="14"/>
      <c r="M24" s="14"/>
      <c r="N24" s="14"/>
      <c r="O24" s="23" t="str">
        <f aca="false">IF(OR(M24="",N24="",K24="",L24=""),"",((M24-N24)/155)*1000*L24/K24)</f>
        <v/>
      </c>
      <c r="P24" s="14"/>
      <c r="Q24" s="14"/>
      <c r="R24" s="14"/>
      <c r="S24" s="23" t="str">
        <f aca="false">IF(OR(ISNUMBER(Std_Curves!$E$13)=FALSE()),"",IF(OR(R24="",P24="",Q24=""),"",((R24-Std_Curves!$E$14)/Std_Curves!$E$13)*Q24/P24))</f>
        <v/>
      </c>
      <c r="T24" s="14"/>
      <c r="U24" s="14"/>
      <c r="V24" s="14"/>
      <c r="W24" s="14"/>
      <c r="X24" s="23" t="str">
        <f aca="false">IF(OR(ISNUMBER(Std_Curves!$K$13)=FALSE()),"",IF(OR(W24="",T24="",U24="",V24=""),"",((W24-Std_Curves!$K$14)/Std_Curves!$K$13)*U24*V24/(T24*1000)))</f>
        <v/>
      </c>
      <c r="Y24" s="14"/>
      <c r="Z24" s="14"/>
      <c r="AA24" s="14"/>
      <c r="AB24" s="23" t="str">
        <f aca="false">IF(OR(ISNUMBER(Std_Curves!$H$13)=FALSE()),"",IF(OR(AA24=""),"",((AA24-Std_Curves!$H$14)/Std_Curves!$H$13)/1000))</f>
        <v/>
      </c>
      <c r="AC24" s="23" t="str">
        <f aca="false">IF(OR(AB24="",Z24="",Y24=""),"",AB24*Z24/Y24)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14"/>
      <c r="I25" s="23" t="str">
        <f aca="false">IF(OR(ISNUMBER(Std_Curves!$B$13)=FALSE()),"",IF(OR(G25=""),"",(G25-Std_Curves!$B$14)/Std_Curves!$B$13))</f>
        <v/>
      </c>
      <c r="J25" s="23" t="str">
        <f aca="false">IF(OR(I25="",H25="",F25=""),"",(I25*H25/115.13)/(F25/5))</f>
        <v/>
      </c>
      <c r="K25" s="14"/>
      <c r="L25" s="14"/>
      <c r="M25" s="14"/>
      <c r="N25" s="14"/>
      <c r="O25" s="23" t="str">
        <f aca="false">IF(OR(M25="",N25="",K25="",L25=""),"",((M25-N25)/155)*1000*L25/K25)</f>
        <v/>
      </c>
      <c r="P25" s="14"/>
      <c r="Q25" s="14"/>
      <c r="R25" s="14"/>
      <c r="S25" s="23" t="str">
        <f aca="false">IF(OR(ISNUMBER(Std_Curves!$E$13)=FALSE()),"",IF(OR(R25="",P25="",Q25=""),"",((R25-Std_Curves!$E$14)/Std_Curves!$E$13)*Q25/P25))</f>
        <v/>
      </c>
      <c r="T25" s="14"/>
      <c r="U25" s="14"/>
      <c r="V25" s="14"/>
      <c r="W25" s="14"/>
      <c r="X25" s="23" t="str">
        <f aca="false">IF(OR(ISNUMBER(Std_Curves!$K$13)=FALSE()),"",IF(OR(W25="",T25="",U25="",V25=""),"",((W25-Std_Curves!$K$14)/Std_Curves!$K$13)*U25*V25/(T25*1000)))</f>
        <v/>
      </c>
      <c r="Y25" s="14"/>
      <c r="Z25" s="14"/>
      <c r="AA25" s="14"/>
      <c r="AB25" s="23" t="str">
        <f aca="false">IF(OR(ISNUMBER(Std_Curves!$H$13)=FALSE()),"",IF(OR(AA25=""),"",((AA25-Std_Curves!$H$14)/Std_Curves!$H$13)/1000))</f>
        <v/>
      </c>
      <c r="AC25" s="23" t="str">
        <f aca="false">IF(OR(AB25="",Z25="",Y25=""),"",AB25*Z25/Y25)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14"/>
      <c r="I26" s="23" t="str">
        <f aca="false">IF(OR(ISNUMBER(Std_Curves!$B$13)=FALSE()),"",IF(OR(G26=""),"",(G26-Std_Curves!$B$14)/Std_Curves!$B$13))</f>
        <v/>
      </c>
      <c r="J26" s="23" t="str">
        <f aca="false">IF(OR(I26="",H26="",F26=""),"",(I26*H26/115.13)/(F26/5))</f>
        <v/>
      </c>
      <c r="K26" s="14"/>
      <c r="L26" s="14"/>
      <c r="M26" s="14"/>
      <c r="N26" s="14"/>
      <c r="O26" s="23" t="str">
        <f aca="false">IF(OR(M26="",N26="",K26="",L26=""),"",((M26-N26)/155)*1000*L26/K26)</f>
        <v/>
      </c>
      <c r="P26" s="14"/>
      <c r="Q26" s="14"/>
      <c r="R26" s="14"/>
      <c r="S26" s="23" t="str">
        <f aca="false">IF(OR(ISNUMBER(Std_Curves!$E$13)=FALSE()),"",IF(OR(R26="",P26="",Q26=""),"",((R26-Std_Curves!$E$14)/Std_Curves!$E$13)*Q26/P26))</f>
        <v/>
      </c>
      <c r="T26" s="14"/>
      <c r="U26" s="14"/>
      <c r="V26" s="14"/>
      <c r="W26" s="14"/>
      <c r="X26" s="23" t="str">
        <f aca="false">IF(OR(ISNUMBER(Std_Curves!$K$13)=FALSE()),"",IF(OR(W26="",T26="",U26="",V26=""),"",((W26-Std_Curves!$K$14)/Std_Curves!$K$13)*U26*V26/(T26*1000)))</f>
        <v/>
      </c>
      <c r="Y26" s="14"/>
      <c r="Z26" s="14"/>
      <c r="AA26" s="14"/>
      <c r="AB26" s="23" t="str">
        <f aca="false">IF(OR(ISNUMBER(Std_Curves!$H$13)=FALSE()),"",IF(OR(AA26=""),"",((AA26-Std_Curves!$H$14)/Std_Curves!$H$13)/1000))</f>
        <v/>
      </c>
      <c r="AC26" s="23" t="str">
        <f aca="false">IF(OR(AB26="",Z26="",Y26=""),"",AB26*Z26/Y26)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14"/>
      <c r="I27" s="23" t="str">
        <f aca="false">IF(OR(ISNUMBER(Std_Curves!$B$13)=FALSE()),"",IF(OR(G27=""),"",(G27-Std_Curves!$B$14)/Std_Curves!$B$13))</f>
        <v/>
      </c>
      <c r="J27" s="23" t="str">
        <f aca="false">IF(OR(I27="",H27="",F27=""),"",(I27*H27/115.13)/(F27/5))</f>
        <v/>
      </c>
      <c r="K27" s="14"/>
      <c r="L27" s="14"/>
      <c r="M27" s="14"/>
      <c r="N27" s="14"/>
      <c r="O27" s="23" t="str">
        <f aca="false">IF(OR(M27="",N27="",K27="",L27=""),"",((M27-N27)/155)*1000*L27/K27)</f>
        <v/>
      </c>
      <c r="P27" s="14"/>
      <c r="Q27" s="14"/>
      <c r="R27" s="14"/>
      <c r="S27" s="23" t="str">
        <f aca="false">IF(OR(ISNUMBER(Std_Curves!$E$13)=FALSE()),"",IF(OR(R27="",P27="",Q27=""),"",((R27-Std_Curves!$E$14)/Std_Curves!$E$13)*Q27/P27))</f>
        <v/>
      </c>
      <c r="T27" s="14"/>
      <c r="U27" s="14"/>
      <c r="V27" s="14"/>
      <c r="W27" s="14"/>
      <c r="X27" s="23" t="str">
        <f aca="false">IF(OR(ISNUMBER(Std_Curves!$K$13)=FALSE()),"",IF(OR(W27="",T27="",U27="",V27=""),"",((W27-Std_Curves!$K$14)/Std_Curves!$K$13)*U27*V27/(T27*1000)))</f>
        <v/>
      </c>
      <c r="Y27" s="14"/>
      <c r="Z27" s="14"/>
      <c r="AA27" s="14"/>
      <c r="AB27" s="23" t="str">
        <f aca="false">IF(OR(ISNUMBER(Std_Curves!$H$13)=FALSE()),"",IF(OR(AA27=""),"",((AA27-Std_Curves!$H$14)/Std_Curves!$H$13)/1000))</f>
        <v/>
      </c>
      <c r="AC27" s="23" t="str">
        <f aca="false">IF(OR(AB27="",Z27="",Y27=""),"",AB27*Z27/Y27)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14"/>
      <c r="I28" s="23" t="str">
        <f aca="false">IF(OR(ISNUMBER(Std_Curves!$B$13)=FALSE()),"",IF(OR(G28=""),"",(G28-Std_Curves!$B$14)/Std_Curves!$B$13))</f>
        <v/>
      </c>
      <c r="J28" s="23" t="str">
        <f aca="false">IF(OR(I28="",H28="",F28=""),"",(I28*H28/115.13)/(F28/5))</f>
        <v/>
      </c>
      <c r="K28" s="14"/>
      <c r="L28" s="14"/>
      <c r="M28" s="14"/>
      <c r="N28" s="14"/>
      <c r="O28" s="23" t="str">
        <f aca="false">IF(OR(M28="",N28="",K28="",L28=""),"",((M28-N28)/155)*1000*L28/K28)</f>
        <v/>
      </c>
      <c r="P28" s="14"/>
      <c r="Q28" s="14"/>
      <c r="R28" s="14"/>
      <c r="S28" s="23" t="str">
        <f aca="false">IF(OR(ISNUMBER(Std_Curves!$E$13)=FALSE()),"",IF(OR(R28="",P28="",Q28=""),"",((R28-Std_Curves!$E$14)/Std_Curves!$E$13)*Q28/P28))</f>
        <v/>
      </c>
      <c r="T28" s="14"/>
      <c r="U28" s="14"/>
      <c r="V28" s="14"/>
      <c r="W28" s="14"/>
      <c r="X28" s="23" t="str">
        <f aca="false">IF(OR(ISNUMBER(Std_Curves!$K$13)=FALSE()),"",IF(OR(W28="",T28="",U28="",V28=""),"",((W28-Std_Curves!$K$14)/Std_Curves!$K$13)*U28*V28/(T28*1000)))</f>
        <v/>
      </c>
      <c r="Y28" s="14"/>
      <c r="Z28" s="14"/>
      <c r="AA28" s="14"/>
      <c r="AB28" s="23" t="str">
        <f aca="false">IF(OR(ISNUMBER(Std_Curves!$H$13)=FALSE()),"",IF(OR(AA28=""),"",((AA28-Std_Curves!$H$14)/Std_Curves!$H$13)/1000))</f>
        <v/>
      </c>
      <c r="AC28" s="23" t="str">
        <f aca="false">IF(OR(AB28="",Z28="",Y28=""),"",AB28*Z28/Y28)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14"/>
      <c r="I29" s="23" t="str">
        <f aca="false">IF(OR(ISNUMBER(Std_Curves!$B$13)=FALSE()),"",IF(OR(G29=""),"",(G29-Std_Curves!$B$14)/Std_Curves!$B$13))</f>
        <v/>
      </c>
      <c r="J29" s="23" t="str">
        <f aca="false">IF(OR(I29="",H29="",F29=""),"",(I29*H29/115.13)/(F29/5))</f>
        <v/>
      </c>
      <c r="K29" s="14"/>
      <c r="L29" s="14"/>
      <c r="M29" s="14"/>
      <c r="N29" s="14"/>
      <c r="O29" s="23" t="str">
        <f aca="false">IF(OR(M29="",N29="",K29="",L29=""),"",((M29-N29)/155)*1000*L29/K29)</f>
        <v/>
      </c>
      <c r="P29" s="14"/>
      <c r="Q29" s="14"/>
      <c r="R29" s="14"/>
      <c r="S29" s="23" t="str">
        <f aca="false">IF(OR(ISNUMBER(Std_Curves!$E$13)=FALSE()),"",IF(OR(R29="",P29="",Q29=""),"",((R29-Std_Curves!$E$14)/Std_Curves!$E$13)*Q29/P29))</f>
        <v/>
      </c>
      <c r="T29" s="14"/>
      <c r="U29" s="14"/>
      <c r="V29" s="14"/>
      <c r="W29" s="14"/>
      <c r="X29" s="23" t="str">
        <f aca="false">IF(OR(ISNUMBER(Std_Curves!$K$13)=FALSE()),"",IF(OR(W29="",T29="",U29="",V29=""),"",((W29-Std_Curves!$K$14)/Std_Curves!$K$13)*U29*V29/(T29*1000)))</f>
        <v/>
      </c>
      <c r="Y29" s="14"/>
      <c r="Z29" s="14"/>
      <c r="AA29" s="14"/>
      <c r="AB29" s="23" t="str">
        <f aca="false">IF(OR(ISNUMBER(Std_Curves!$H$13)=FALSE()),"",IF(OR(AA29=""),"",((AA29-Std_Curves!$H$14)/Std_Curves!$H$13)/1000))</f>
        <v/>
      </c>
      <c r="AC29" s="23" t="str">
        <f aca="false">IF(OR(AB29="",Z29="",Y29=""),"",AB29*Z29/Y29)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14"/>
      <c r="I30" s="23" t="str">
        <f aca="false">IF(OR(ISNUMBER(Std_Curves!$B$13)=FALSE()),"",IF(OR(G30=""),"",(G30-Std_Curves!$B$14)/Std_Curves!$B$13))</f>
        <v/>
      </c>
      <c r="J30" s="23" t="str">
        <f aca="false">IF(OR(I30="",H30="",F30=""),"",(I30*H30/115.13)/(F30/5))</f>
        <v/>
      </c>
      <c r="K30" s="14"/>
      <c r="L30" s="14"/>
      <c r="M30" s="14"/>
      <c r="N30" s="14"/>
      <c r="O30" s="23" t="str">
        <f aca="false">IF(OR(M30="",N30="",K30="",L30=""),"",((M30-N30)/155)*1000*L30/K30)</f>
        <v/>
      </c>
      <c r="P30" s="14"/>
      <c r="Q30" s="14"/>
      <c r="R30" s="14"/>
      <c r="S30" s="23" t="str">
        <f aca="false">IF(OR(ISNUMBER(Std_Curves!$E$13)=FALSE()),"",IF(OR(R30="",P30="",Q30=""),"",((R30-Std_Curves!$E$14)/Std_Curves!$E$13)*Q30/P30))</f>
        <v/>
      </c>
      <c r="T30" s="14"/>
      <c r="U30" s="14"/>
      <c r="V30" s="14"/>
      <c r="W30" s="14"/>
      <c r="X30" s="23" t="str">
        <f aca="false">IF(OR(ISNUMBER(Std_Curves!$K$13)=FALSE()),"",IF(OR(W30="",T30="",U30="",V30=""),"",((W30-Std_Curves!$K$14)/Std_Curves!$K$13)*U30*V30/(T30*1000)))</f>
        <v/>
      </c>
      <c r="Y30" s="14"/>
      <c r="Z30" s="14"/>
      <c r="AA30" s="14"/>
      <c r="AB30" s="23" t="str">
        <f aca="false">IF(OR(ISNUMBER(Std_Curves!$H$13)=FALSE()),"",IF(OR(AA30=""),"",((AA30-Std_Curves!$H$14)/Std_Curves!$H$13)/1000))</f>
        <v/>
      </c>
      <c r="AC30" s="23" t="str">
        <f aca="false">IF(OR(AB30="",Z30="",Y30=""),"",AB30*Z30/Y30)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14"/>
      <c r="I31" s="23" t="str">
        <f aca="false">IF(OR(ISNUMBER(Std_Curves!$B$13)=FALSE()),"",IF(OR(G31=""),"",(G31-Std_Curves!$B$14)/Std_Curves!$B$13))</f>
        <v/>
      </c>
      <c r="J31" s="23" t="str">
        <f aca="false">IF(OR(I31="",H31="",F31=""),"",(I31*H31/115.13)/(F31/5))</f>
        <v/>
      </c>
      <c r="K31" s="14"/>
      <c r="L31" s="14"/>
      <c r="M31" s="14"/>
      <c r="N31" s="14"/>
      <c r="O31" s="23" t="str">
        <f aca="false">IF(OR(M31="",N31="",K31="",L31=""),"",((M31-N31)/155)*1000*L31/K31)</f>
        <v/>
      </c>
      <c r="P31" s="14"/>
      <c r="Q31" s="14"/>
      <c r="R31" s="14"/>
      <c r="S31" s="23" t="str">
        <f aca="false">IF(OR(ISNUMBER(Std_Curves!$E$13)=FALSE()),"",IF(OR(R31="",P31="",Q31=""),"",((R31-Std_Curves!$E$14)/Std_Curves!$E$13)*Q31/P31))</f>
        <v/>
      </c>
      <c r="T31" s="14"/>
      <c r="U31" s="14"/>
      <c r="V31" s="14"/>
      <c r="W31" s="14"/>
      <c r="X31" s="23" t="str">
        <f aca="false">IF(OR(ISNUMBER(Std_Curves!$K$13)=FALSE()),"",IF(OR(W31="",T31="",U31="",V31=""),"",((W31-Std_Curves!$K$14)/Std_Curves!$K$13)*U31*V31/(T31*1000)))</f>
        <v/>
      </c>
      <c r="Y31" s="14"/>
      <c r="Z31" s="14"/>
      <c r="AA31" s="14"/>
      <c r="AB31" s="23" t="str">
        <f aca="false">IF(OR(ISNUMBER(Std_Curves!$H$13)=FALSE()),"",IF(OR(AA31=""),"",((AA31-Std_Curves!$H$14)/Std_Curves!$H$13)/1000))</f>
        <v/>
      </c>
      <c r="AC31" s="23" t="str">
        <f aca="false">IF(OR(AB31="",Z31="",Y31=""),"",AB31*Z31/Y31)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14"/>
      <c r="I32" s="23" t="str">
        <f aca="false">IF(OR(ISNUMBER(Std_Curves!$B$13)=FALSE()),"",IF(OR(G32=""),"",(G32-Std_Curves!$B$14)/Std_Curves!$B$13))</f>
        <v/>
      </c>
      <c r="J32" s="23" t="str">
        <f aca="false">IF(OR(I32="",H32="",F32=""),"",(I32*H32/115.13)/(F32/5))</f>
        <v/>
      </c>
      <c r="K32" s="14"/>
      <c r="L32" s="14"/>
      <c r="M32" s="14"/>
      <c r="N32" s="14"/>
      <c r="O32" s="23" t="str">
        <f aca="false">IF(OR(M32="",N32="",K32="",L32=""),"",((M32-N32)/155)*1000*L32/K32)</f>
        <v/>
      </c>
      <c r="P32" s="14"/>
      <c r="Q32" s="14"/>
      <c r="R32" s="14"/>
      <c r="S32" s="23" t="str">
        <f aca="false">IF(OR(ISNUMBER(Std_Curves!$E$13)=FALSE()),"",IF(OR(R32="",P32="",Q32=""),"",((R32-Std_Curves!$E$14)/Std_Curves!$E$13)*Q32/P32))</f>
        <v/>
      </c>
      <c r="T32" s="14"/>
      <c r="U32" s="14"/>
      <c r="V32" s="14"/>
      <c r="W32" s="14"/>
      <c r="X32" s="23" t="str">
        <f aca="false">IF(OR(ISNUMBER(Std_Curves!$K$13)=FALSE()),"",IF(OR(W32="",T32="",U32="",V32=""),"",((W32-Std_Curves!$K$14)/Std_Curves!$K$13)*U32*V32/(T32*1000)))</f>
        <v/>
      </c>
      <c r="Y32" s="14"/>
      <c r="Z32" s="14"/>
      <c r="AA32" s="14"/>
      <c r="AB32" s="23" t="str">
        <f aca="false">IF(OR(ISNUMBER(Std_Curves!$H$13)=FALSE()),"",IF(OR(AA32=""),"",((AA32-Std_Curves!$H$14)/Std_Curves!$H$13)/1000))</f>
        <v/>
      </c>
      <c r="AC32" s="23" t="str">
        <f aca="false">IF(OR(AB32="",Z32="",Y32=""),"",AB32*Z32/Y32)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14"/>
      <c r="I33" s="23" t="str">
        <f aca="false">IF(OR(ISNUMBER(Std_Curves!$B$13)=FALSE()),"",IF(OR(G33=""),"",(G33-Std_Curves!$B$14)/Std_Curves!$B$13))</f>
        <v/>
      </c>
      <c r="J33" s="23" t="str">
        <f aca="false">IF(OR(I33="",H33="",F33=""),"",(I33*H33/115.13)/(F33/5))</f>
        <v/>
      </c>
      <c r="K33" s="14"/>
      <c r="L33" s="14"/>
      <c r="M33" s="14"/>
      <c r="N33" s="14"/>
      <c r="O33" s="23" t="str">
        <f aca="false">IF(OR(M33="",N33="",K33="",L33=""),"",((M33-N33)/155)*1000*L33/K33)</f>
        <v/>
      </c>
      <c r="P33" s="14"/>
      <c r="Q33" s="14"/>
      <c r="R33" s="14"/>
      <c r="S33" s="23" t="str">
        <f aca="false">IF(OR(ISNUMBER(Std_Curves!$E$13)=FALSE()),"",IF(OR(R33="",P33="",Q33=""),"",((R33-Std_Curves!$E$14)/Std_Curves!$E$13)*Q33/P33))</f>
        <v/>
      </c>
      <c r="T33" s="14"/>
      <c r="U33" s="14"/>
      <c r="V33" s="14"/>
      <c r="W33" s="14"/>
      <c r="X33" s="23" t="str">
        <f aca="false">IF(OR(ISNUMBER(Std_Curves!$K$13)=FALSE()),"",IF(OR(W33="",T33="",U33="",V33=""),"",((W33-Std_Curves!$K$14)/Std_Curves!$K$13)*U33*V33/(T33*1000)))</f>
        <v/>
      </c>
      <c r="Y33" s="14"/>
      <c r="Z33" s="14"/>
      <c r="AA33" s="14"/>
      <c r="AB33" s="23" t="str">
        <f aca="false">IF(OR(ISNUMBER(Std_Curves!$H$13)=FALSE()),"",IF(OR(AA33=""),"",((AA33-Std_Curves!$H$14)/Std_Curves!$H$13)/1000))</f>
        <v/>
      </c>
      <c r="AC33" s="23" t="str">
        <f aca="false">IF(OR(AB33="",Z33="",Y33=""),"",AB33*Z33/Y33)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14"/>
      <c r="I34" s="23" t="str">
        <f aca="false">IF(OR(ISNUMBER(Std_Curves!$B$13)=FALSE()),"",IF(OR(G34=""),"",(G34-Std_Curves!$B$14)/Std_Curves!$B$13))</f>
        <v/>
      </c>
      <c r="J34" s="23" t="str">
        <f aca="false">IF(OR(I34="",H34="",F34=""),"",(I34*H34/115.13)/(F34/5))</f>
        <v/>
      </c>
      <c r="K34" s="14"/>
      <c r="L34" s="14"/>
      <c r="M34" s="14"/>
      <c r="N34" s="14"/>
      <c r="O34" s="23" t="str">
        <f aca="false">IF(OR(M34="",N34="",K34="",L34=""),"",((M34-N34)/155)*1000*L34/K34)</f>
        <v/>
      </c>
      <c r="P34" s="14"/>
      <c r="Q34" s="14"/>
      <c r="R34" s="14"/>
      <c r="S34" s="23" t="str">
        <f aca="false">IF(OR(ISNUMBER(Std_Curves!$E$13)=FALSE()),"",IF(OR(R34="",P34="",Q34=""),"",((R34-Std_Curves!$E$14)/Std_Curves!$E$13)*Q34/P34))</f>
        <v/>
      </c>
      <c r="T34" s="14"/>
      <c r="U34" s="14"/>
      <c r="V34" s="14"/>
      <c r="W34" s="14"/>
      <c r="X34" s="23" t="str">
        <f aca="false">IF(OR(ISNUMBER(Std_Curves!$K$13)=FALSE()),"",IF(OR(W34="",T34="",U34="",V34=""),"",((W34-Std_Curves!$K$14)/Std_Curves!$K$13)*U34*V34/(T34*1000)))</f>
        <v/>
      </c>
      <c r="Y34" s="14"/>
      <c r="Z34" s="14"/>
      <c r="AA34" s="14"/>
      <c r="AB34" s="23" t="str">
        <f aca="false">IF(OR(ISNUMBER(Std_Curves!$H$13)=FALSE()),"",IF(OR(AA34=""),"",((AA34-Std_Curves!$H$14)/Std_Curves!$H$13)/1000))</f>
        <v/>
      </c>
      <c r="AC34" s="23" t="str">
        <f aca="false">IF(OR(AB34="",Z34="",Y34=""),"",AB34*Z34/Y34)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14"/>
      <c r="I35" s="23" t="str">
        <f aca="false">IF(OR(ISNUMBER(Std_Curves!$B$13)=FALSE()),"",IF(OR(G35=""),"",(G35-Std_Curves!$B$14)/Std_Curves!$B$13))</f>
        <v/>
      </c>
      <c r="J35" s="23" t="str">
        <f aca="false">IF(OR(I35="",H35="",F35=""),"",(I35*H35/115.13)/(F35/5))</f>
        <v/>
      </c>
      <c r="K35" s="14"/>
      <c r="L35" s="14"/>
      <c r="M35" s="14"/>
      <c r="N35" s="14"/>
      <c r="O35" s="23" t="str">
        <f aca="false">IF(OR(M35="",N35="",K35="",L35=""),"",((M35-N35)/155)*1000*L35/K35)</f>
        <v/>
      </c>
      <c r="P35" s="14"/>
      <c r="Q35" s="14"/>
      <c r="R35" s="14"/>
      <c r="S35" s="23" t="str">
        <f aca="false">IF(OR(ISNUMBER(Std_Curves!$E$13)=FALSE()),"",IF(OR(R35="",P35="",Q35=""),"",((R35-Std_Curves!$E$14)/Std_Curves!$E$13)*Q35/P35))</f>
        <v/>
      </c>
      <c r="T35" s="14"/>
      <c r="U35" s="14"/>
      <c r="V35" s="14"/>
      <c r="W35" s="14"/>
      <c r="X35" s="23" t="str">
        <f aca="false">IF(OR(ISNUMBER(Std_Curves!$K$13)=FALSE()),"",IF(OR(W35="",T35="",U35="",V35=""),"",((W35-Std_Curves!$K$14)/Std_Curves!$K$13)*U35*V35/(T35*1000)))</f>
        <v/>
      </c>
      <c r="Y35" s="14"/>
      <c r="Z35" s="14"/>
      <c r="AA35" s="14"/>
      <c r="AB35" s="23" t="str">
        <f aca="false">IF(OR(ISNUMBER(Std_Curves!$H$13)=FALSE()),"",IF(OR(AA35=""),"",((AA35-Std_Curves!$H$14)/Std_Curves!$H$13)/1000))</f>
        <v/>
      </c>
      <c r="AC35" s="23" t="str">
        <f aca="false">IF(OR(AB35="",Z35="",Y35=""),"",AB35*Z35/Y35)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14"/>
      <c r="I36" s="23" t="str">
        <f aca="false">IF(OR(ISNUMBER(Std_Curves!$B$13)=FALSE()),"",IF(OR(G36=""),"",(G36-Std_Curves!$B$14)/Std_Curves!$B$13))</f>
        <v/>
      </c>
      <c r="J36" s="23" t="str">
        <f aca="false">IF(OR(I36="",H36="",F36=""),"",(I36*H36/115.13)/(F36/5))</f>
        <v/>
      </c>
      <c r="K36" s="14"/>
      <c r="L36" s="14"/>
      <c r="M36" s="14"/>
      <c r="N36" s="14"/>
      <c r="O36" s="23" t="str">
        <f aca="false">IF(OR(M36="",N36="",K36="",L36=""),"",((M36-N36)/155)*1000*L36/K36)</f>
        <v/>
      </c>
      <c r="P36" s="14"/>
      <c r="Q36" s="14"/>
      <c r="R36" s="14"/>
      <c r="S36" s="23" t="str">
        <f aca="false">IF(OR(ISNUMBER(Std_Curves!$E$13)=FALSE()),"",IF(OR(R36="",P36="",Q36=""),"",((R36-Std_Curves!$E$14)/Std_Curves!$E$13)*Q36/P36))</f>
        <v/>
      </c>
      <c r="T36" s="14"/>
      <c r="U36" s="14"/>
      <c r="V36" s="14"/>
      <c r="W36" s="14"/>
      <c r="X36" s="23" t="str">
        <f aca="false">IF(OR(ISNUMBER(Std_Curves!$K$13)=FALSE()),"",IF(OR(W36="",T36="",U36="",V36=""),"",((W36-Std_Curves!$K$14)/Std_Curves!$K$13)*U36*V36/(T36*1000)))</f>
        <v/>
      </c>
      <c r="Y36" s="14"/>
      <c r="Z36" s="14"/>
      <c r="AA36" s="14"/>
      <c r="AB36" s="23" t="str">
        <f aca="false">IF(OR(ISNUMBER(Std_Curves!$H$13)=FALSE()),"",IF(OR(AA36=""),"",((AA36-Std_Curves!$H$14)/Std_Curves!$H$13)/1000))</f>
        <v/>
      </c>
      <c r="AC36" s="23" t="str">
        <f aca="false">IF(OR(AB36="",Z36="",Y36=""),"",AB36*Z36/Y36)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14"/>
      <c r="I37" s="23" t="str">
        <f aca="false">IF(OR(ISNUMBER(Std_Curves!$B$13)=FALSE()),"",IF(OR(G37=""),"",(G37-Std_Curves!$B$14)/Std_Curves!$B$13))</f>
        <v/>
      </c>
      <c r="J37" s="23" t="str">
        <f aca="false">IF(OR(I37="",H37="",F37=""),"",(I37*H37/115.13)/(F37/5))</f>
        <v/>
      </c>
      <c r="K37" s="14"/>
      <c r="L37" s="14"/>
      <c r="M37" s="14"/>
      <c r="N37" s="14"/>
      <c r="O37" s="23" t="str">
        <f aca="false">IF(OR(M37="",N37="",K37="",L37=""),"",((M37-N37)/155)*1000*L37/K37)</f>
        <v/>
      </c>
      <c r="P37" s="14"/>
      <c r="Q37" s="14"/>
      <c r="R37" s="14"/>
      <c r="S37" s="23" t="str">
        <f aca="false">IF(OR(ISNUMBER(Std_Curves!$E$13)=FALSE()),"",IF(OR(R37="",P37="",Q37=""),"",((R37-Std_Curves!$E$14)/Std_Curves!$E$13)*Q37/P37))</f>
        <v/>
      </c>
      <c r="T37" s="14"/>
      <c r="U37" s="14"/>
      <c r="V37" s="14"/>
      <c r="W37" s="14"/>
      <c r="X37" s="23" t="str">
        <f aca="false">IF(OR(ISNUMBER(Std_Curves!$K$13)=FALSE()),"",IF(OR(W37="",T37="",U37="",V37=""),"",((W37-Std_Curves!$K$14)/Std_Curves!$K$13)*U37*V37/(T37*1000)))</f>
        <v/>
      </c>
      <c r="Y37" s="14"/>
      <c r="Z37" s="14"/>
      <c r="AA37" s="14"/>
      <c r="AB37" s="23" t="str">
        <f aca="false">IF(OR(ISNUMBER(Std_Curves!$H$13)=FALSE()),"",IF(OR(AA37=""),"",((AA37-Std_Curves!$H$14)/Std_Curves!$H$13)/1000))</f>
        <v/>
      </c>
      <c r="AC37" s="23" t="str">
        <f aca="false">IF(OR(AB37="",Z37="",Y37=""),"",AB37*Z37/Y37)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14"/>
      <c r="I38" s="23" t="str">
        <f aca="false">IF(OR(ISNUMBER(Std_Curves!$B$13)=FALSE()),"",IF(OR(G38=""),"",(G38-Std_Curves!$B$14)/Std_Curves!$B$13))</f>
        <v/>
      </c>
      <c r="J38" s="23" t="str">
        <f aca="false">IF(OR(I38="",H38="",F38=""),"",(I38*H38/115.13)/(F38/5))</f>
        <v/>
      </c>
      <c r="K38" s="14"/>
      <c r="L38" s="14"/>
      <c r="M38" s="14"/>
      <c r="N38" s="14"/>
      <c r="O38" s="23" t="str">
        <f aca="false">IF(OR(M38="",N38="",K38="",L38=""),"",((M38-N38)/155)*1000*L38/K38)</f>
        <v/>
      </c>
      <c r="P38" s="14"/>
      <c r="Q38" s="14"/>
      <c r="R38" s="14"/>
      <c r="S38" s="23" t="str">
        <f aca="false">IF(OR(ISNUMBER(Std_Curves!$E$13)=FALSE()),"",IF(OR(R38="",P38="",Q38=""),"",((R38-Std_Curves!$E$14)/Std_Curves!$E$13)*Q38/P38))</f>
        <v/>
      </c>
      <c r="T38" s="14"/>
      <c r="U38" s="14"/>
      <c r="V38" s="14"/>
      <c r="W38" s="14"/>
      <c r="X38" s="23" t="str">
        <f aca="false">IF(OR(ISNUMBER(Std_Curves!$K$13)=FALSE()),"",IF(OR(W38="",T38="",U38="",V38=""),"",((W38-Std_Curves!$K$14)/Std_Curves!$K$13)*U38*V38/(T38*1000)))</f>
        <v/>
      </c>
      <c r="Y38" s="14"/>
      <c r="Z38" s="14"/>
      <c r="AA38" s="14"/>
      <c r="AB38" s="23" t="str">
        <f aca="false">IF(OR(ISNUMBER(Std_Curves!$H$13)=FALSE()),"",IF(OR(AA38=""),"",((AA38-Std_Curves!$H$14)/Std_Curves!$H$13)/1000))</f>
        <v/>
      </c>
      <c r="AC38" s="23" t="str">
        <f aca="false">IF(OR(AB38="",Z38="",Y38=""),"",AB38*Z38/Y38)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14"/>
      <c r="I39" s="23" t="str">
        <f aca="false">IF(OR(ISNUMBER(Std_Curves!$B$13)=FALSE()),"",IF(OR(G39=""),"",(G39-Std_Curves!$B$14)/Std_Curves!$B$13))</f>
        <v/>
      </c>
      <c r="J39" s="23" t="str">
        <f aca="false">IF(OR(I39="",H39="",F39=""),"",(I39*H39/115.13)/(F39/5))</f>
        <v/>
      </c>
      <c r="K39" s="14"/>
      <c r="L39" s="14"/>
      <c r="M39" s="14"/>
      <c r="N39" s="14"/>
      <c r="O39" s="23" t="str">
        <f aca="false">IF(OR(M39="",N39="",K39="",L39=""),"",((M39-N39)/155)*1000*L39/K39)</f>
        <v/>
      </c>
      <c r="P39" s="14"/>
      <c r="Q39" s="14"/>
      <c r="R39" s="14"/>
      <c r="S39" s="23" t="str">
        <f aca="false">IF(OR(ISNUMBER(Std_Curves!$E$13)=FALSE()),"",IF(OR(R39="",P39="",Q39=""),"",((R39-Std_Curves!$E$14)/Std_Curves!$E$13)*Q39/P39))</f>
        <v/>
      </c>
      <c r="T39" s="14"/>
      <c r="U39" s="14"/>
      <c r="V39" s="14"/>
      <c r="W39" s="14"/>
      <c r="X39" s="23" t="str">
        <f aca="false">IF(OR(ISNUMBER(Std_Curves!$K$13)=FALSE()),"",IF(OR(W39="",T39="",U39="",V39=""),"",((W39-Std_Curves!$K$14)/Std_Curves!$K$13)*U39*V39/(T39*1000)))</f>
        <v/>
      </c>
      <c r="Y39" s="14"/>
      <c r="Z39" s="14"/>
      <c r="AA39" s="14"/>
      <c r="AB39" s="23" t="str">
        <f aca="false">IF(OR(ISNUMBER(Std_Curves!$H$13)=FALSE()),"",IF(OR(AA39=""),"",((AA39-Std_Curves!$H$14)/Std_Curves!$H$13)/1000))</f>
        <v/>
      </c>
      <c r="AC39" s="23" t="str">
        <f aca="false">IF(OR(AB39="",Z39="",Y39=""),"",AB39*Z39/Y39)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14"/>
      <c r="I40" s="23" t="str">
        <f aca="false">IF(OR(ISNUMBER(Std_Curves!$B$13)=FALSE()),"",IF(OR(G40=""),"",(G40-Std_Curves!$B$14)/Std_Curves!$B$13))</f>
        <v/>
      </c>
      <c r="J40" s="23" t="str">
        <f aca="false">IF(OR(I40="",H40="",F40=""),"",(I40*H40/115.13)/(F40/5))</f>
        <v/>
      </c>
      <c r="K40" s="14"/>
      <c r="L40" s="14"/>
      <c r="M40" s="14"/>
      <c r="N40" s="14"/>
      <c r="O40" s="23" t="str">
        <f aca="false">IF(OR(M40="",N40="",K40="",L40=""),"",((M40-N40)/155)*1000*L40/K40)</f>
        <v/>
      </c>
      <c r="P40" s="14"/>
      <c r="Q40" s="14"/>
      <c r="R40" s="14"/>
      <c r="S40" s="23" t="str">
        <f aca="false">IF(OR(ISNUMBER(Std_Curves!$E$13)=FALSE()),"",IF(OR(R40="",P40="",Q40=""),"",((R40-Std_Curves!$E$14)/Std_Curves!$E$13)*Q40/P40))</f>
        <v/>
      </c>
      <c r="T40" s="14"/>
      <c r="U40" s="14"/>
      <c r="V40" s="14"/>
      <c r="W40" s="14"/>
      <c r="X40" s="23" t="str">
        <f aca="false">IF(OR(ISNUMBER(Std_Curves!$K$13)=FALSE()),"",IF(OR(W40="",T40="",U40="",V40=""),"",((W40-Std_Curves!$K$14)/Std_Curves!$K$13)*U40*V40/(T40*1000)))</f>
        <v/>
      </c>
      <c r="Y40" s="14"/>
      <c r="Z40" s="14"/>
      <c r="AA40" s="14"/>
      <c r="AB40" s="23" t="str">
        <f aca="false">IF(OR(ISNUMBER(Std_Curves!$H$13)=FALSE()),"",IF(OR(AA40=""),"",((AA40-Std_Curves!$H$14)/Std_Curves!$H$13)/1000))</f>
        <v/>
      </c>
      <c r="AC40" s="23" t="str">
        <f aca="false">IF(OR(AB40="",Z40="",Y40=""),"",AB40*Z40/Y40)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14"/>
      <c r="I41" s="23" t="str">
        <f aca="false">IF(OR(ISNUMBER(Std_Curves!$B$13)=FALSE()),"",IF(OR(G41=""),"",(G41-Std_Curves!$B$14)/Std_Curves!$B$13))</f>
        <v/>
      </c>
      <c r="J41" s="23" t="str">
        <f aca="false">IF(OR(I41="",H41="",F41=""),"",(I41*H41/115.13)/(F41/5))</f>
        <v/>
      </c>
      <c r="K41" s="14"/>
      <c r="L41" s="14"/>
      <c r="M41" s="14"/>
      <c r="N41" s="14"/>
      <c r="O41" s="23" t="str">
        <f aca="false">IF(OR(M41="",N41="",K41="",L41=""),"",((M41-N41)/155)*1000*L41/K41)</f>
        <v/>
      </c>
      <c r="P41" s="14"/>
      <c r="Q41" s="14"/>
      <c r="R41" s="14"/>
      <c r="S41" s="23" t="str">
        <f aca="false">IF(OR(ISNUMBER(Std_Curves!$E$13)=FALSE()),"",IF(OR(R41="",P41="",Q41=""),"",((R41-Std_Curves!$E$14)/Std_Curves!$E$13)*Q41/P41))</f>
        <v/>
      </c>
      <c r="T41" s="14"/>
      <c r="U41" s="14"/>
      <c r="V41" s="14"/>
      <c r="W41" s="14"/>
      <c r="X41" s="23" t="str">
        <f aca="false">IF(OR(ISNUMBER(Std_Curves!$K$13)=FALSE()),"",IF(OR(W41="",T41="",U41="",V41=""),"",((W41-Std_Curves!$K$14)/Std_Curves!$K$13)*U41*V41/(T41*1000)))</f>
        <v/>
      </c>
      <c r="Y41" s="14"/>
      <c r="Z41" s="14"/>
      <c r="AA41" s="14"/>
      <c r="AB41" s="23" t="str">
        <f aca="false">IF(OR(ISNUMBER(Std_Curves!$H$13)=FALSE()),"",IF(OR(AA41=""),"",((AA41-Std_Curves!$H$14)/Std_Curves!$H$13)/1000))</f>
        <v/>
      </c>
      <c r="AC41" s="23" t="str">
        <f aca="false">IF(OR(AB41="",Z41="",Y41=""),"",AB41*Z41/Y41)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14"/>
      <c r="I42" s="23" t="str">
        <f aca="false">IF(OR(ISNUMBER(Std_Curves!$B$13)=FALSE()),"",IF(OR(G42=""),"",(G42-Std_Curves!$B$14)/Std_Curves!$B$13))</f>
        <v/>
      </c>
      <c r="J42" s="23" t="str">
        <f aca="false">IF(OR(I42="",H42="",F42=""),"",(I42*H42/115.13)/(F42/5))</f>
        <v/>
      </c>
      <c r="K42" s="14"/>
      <c r="L42" s="14"/>
      <c r="M42" s="14"/>
      <c r="N42" s="14"/>
      <c r="O42" s="23" t="str">
        <f aca="false">IF(OR(M42="",N42="",K42="",L42=""),"",((M42-N42)/155)*1000*L42/K42)</f>
        <v/>
      </c>
      <c r="P42" s="14"/>
      <c r="Q42" s="14"/>
      <c r="R42" s="14"/>
      <c r="S42" s="23" t="str">
        <f aca="false">IF(OR(ISNUMBER(Std_Curves!$E$13)=FALSE()),"",IF(OR(R42="",P42="",Q42=""),"",((R42-Std_Curves!$E$14)/Std_Curves!$E$13)*Q42/P42))</f>
        <v/>
      </c>
      <c r="T42" s="14"/>
      <c r="U42" s="14"/>
      <c r="V42" s="14"/>
      <c r="W42" s="14"/>
      <c r="X42" s="23" t="str">
        <f aca="false">IF(OR(ISNUMBER(Std_Curves!$K$13)=FALSE()),"",IF(OR(W42="",T42="",U42="",V42=""),"",((W42-Std_Curves!$K$14)/Std_Curves!$K$13)*U42*V42/(T42*1000)))</f>
        <v/>
      </c>
      <c r="Y42" s="14"/>
      <c r="Z42" s="14"/>
      <c r="AA42" s="14"/>
      <c r="AB42" s="23" t="str">
        <f aca="false">IF(OR(ISNUMBER(Std_Curves!$H$13)=FALSE()),"",IF(OR(AA42=""),"",((AA42-Std_Curves!$H$14)/Std_Curves!$H$13)/1000))</f>
        <v/>
      </c>
      <c r="AC42" s="23" t="str">
        <f aca="false">IF(OR(AB42="",Z42="",Y42=""),"",AB42*Z42/Y42)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14"/>
      <c r="I43" s="23" t="str">
        <f aca="false">IF(OR(ISNUMBER(Std_Curves!$B$13)=FALSE()),"",IF(OR(G43=""),"",(G43-Std_Curves!$B$14)/Std_Curves!$B$13))</f>
        <v/>
      </c>
      <c r="J43" s="23" t="str">
        <f aca="false">IF(OR(I43="",H43="",F43=""),"",(I43*H43/115.13)/(F43/5))</f>
        <v/>
      </c>
      <c r="K43" s="14"/>
      <c r="L43" s="14"/>
      <c r="M43" s="14"/>
      <c r="N43" s="14"/>
      <c r="O43" s="23" t="str">
        <f aca="false">IF(OR(M43="",N43="",K43="",L43=""),"",((M43-N43)/155)*1000*L43/K43)</f>
        <v/>
      </c>
      <c r="P43" s="14"/>
      <c r="Q43" s="14"/>
      <c r="R43" s="14"/>
      <c r="S43" s="23" t="str">
        <f aca="false">IF(OR(ISNUMBER(Std_Curves!$E$13)=FALSE()),"",IF(OR(R43="",P43="",Q43=""),"",((R43-Std_Curves!$E$14)/Std_Curves!$E$13)*Q43/P43))</f>
        <v/>
      </c>
      <c r="T43" s="14"/>
      <c r="U43" s="14"/>
      <c r="V43" s="14"/>
      <c r="W43" s="14"/>
      <c r="X43" s="23" t="str">
        <f aca="false">IF(OR(ISNUMBER(Std_Curves!$K$13)=FALSE()),"",IF(OR(W43="",T43="",U43="",V43=""),"",((W43-Std_Curves!$K$14)/Std_Curves!$K$13)*U43*V43/(T43*1000)))</f>
        <v/>
      </c>
      <c r="Y43" s="14"/>
      <c r="Z43" s="14"/>
      <c r="AA43" s="14"/>
      <c r="AB43" s="23" t="str">
        <f aca="false">IF(OR(ISNUMBER(Std_Curves!$H$13)=FALSE()),"",IF(OR(AA43=""),"",((AA43-Std_Curves!$H$14)/Std_Curves!$H$13)/1000))</f>
        <v/>
      </c>
      <c r="AC43" s="23" t="str">
        <f aca="false">IF(OR(AB43="",Z43="",Y43=""),"",AB43*Z43/Y43)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14"/>
      <c r="I44" s="23" t="str">
        <f aca="false">IF(OR(ISNUMBER(Std_Curves!$B$13)=FALSE()),"",IF(OR(G44=""),"",(G44-Std_Curves!$B$14)/Std_Curves!$B$13))</f>
        <v/>
      </c>
      <c r="J44" s="23" t="str">
        <f aca="false">IF(OR(I44="",H44="",F44=""),"",(I44*H44/115.13)/(F44/5))</f>
        <v/>
      </c>
      <c r="K44" s="14"/>
      <c r="L44" s="14"/>
      <c r="M44" s="14"/>
      <c r="N44" s="14"/>
      <c r="O44" s="23" t="str">
        <f aca="false">IF(OR(M44="",N44="",K44="",L44=""),"",((M44-N44)/155)*1000*L44/K44)</f>
        <v/>
      </c>
      <c r="P44" s="14"/>
      <c r="Q44" s="14"/>
      <c r="R44" s="14"/>
      <c r="S44" s="23" t="str">
        <f aca="false">IF(OR(ISNUMBER(Std_Curves!$E$13)=FALSE()),"",IF(OR(R44="",P44="",Q44=""),"",((R44-Std_Curves!$E$14)/Std_Curves!$E$13)*Q44/P44))</f>
        <v/>
      </c>
      <c r="T44" s="14"/>
      <c r="U44" s="14"/>
      <c r="V44" s="14"/>
      <c r="W44" s="14"/>
      <c r="X44" s="23" t="str">
        <f aca="false">IF(OR(ISNUMBER(Std_Curves!$K$13)=FALSE()),"",IF(OR(W44="",T44="",U44="",V44=""),"",((W44-Std_Curves!$K$14)/Std_Curves!$K$13)*U44*V44/(T44*1000)))</f>
        <v/>
      </c>
      <c r="Y44" s="14"/>
      <c r="Z44" s="14"/>
      <c r="AA44" s="14"/>
      <c r="AB44" s="23" t="str">
        <f aca="false">IF(OR(ISNUMBER(Std_Curves!$H$13)=FALSE()),"",IF(OR(AA44=""),"",((AA44-Std_Curves!$H$14)/Std_Curves!$H$13)/1000))</f>
        <v/>
      </c>
      <c r="AC44" s="23" t="str">
        <f aca="false">IF(OR(AB44="",Z44="",Y44=""),"",AB44*Z44/Y44)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14"/>
      <c r="I45" s="23" t="str">
        <f aca="false">IF(OR(ISNUMBER(Std_Curves!$B$13)=FALSE()),"",IF(OR(G45=""),"",(G45-Std_Curves!$B$14)/Std_Curves!$B$13))</f>
        <v/>
      </c>
      <c r="J45" s="23" t="str">
        <f aca="false">IF(OR(I45="",H45="",F45=""),"",(I45*H45/115.13)/(F45/5))</f>
        <v/>
      </c>
      <c r="K45" s="14"/>
      <c r="L45" s="14"/>
      <c r="M45" s="14"/>
      <c r="N45" s="14"/>
      <c r="O45" s="23" t="str">
        <f aca="false">IF(OR(M45="",N45="",K45="",L45=""),"",((M45-N45)/155)*1000*L45/K45)</f>
        <v/>
      </c>
      <c r="P45" s="14"/>
      <c r="Q45" s="14"/>
      <c r="R45" s="14"/>
      <c r="S45" s="23" t="str">
        <f aca="false">IF(OR(ISNUMBER(Std_Curves!$E$13)=FALSE()),"",IF(OR(R45="",P45="",Q45=""),"",((R45-Std_Curves!$E$14)/Std_Curves!$E$13)*Q45/P45))</f>
        <v/>
      </c>
      <c r="T45" s="14"/>
      <c r="U45" s="14"/>
      <c r="V45" s="14"/>
      <c r="W45" s="14"/>
      <c r="X45" s="23" t="str">
        <f aca="false">IF(OR(ISNUMBER(Std_Curves!$K$13)=FALSE()),"",IF(OR(W45="",T45="",U45="",V45=""),"",((W45-Std_Curves!$K$14)/Std_Curves!$K$13)*U45*V45/(T45*1000)))</f>
        <v/>
      </c>
      <c r="Y45" s="14"/>
      <c r="Z45" s="14"/>
      <c r="AA45" s="14"/>
      <c r="AB45" s="23" t="str">
        <f aca="false">IF(OR(ISNUMBER(Std_Curves!$H$13)=FALSE()),"",IF(OR(AA45=""),"",((AA45-Std_Curves!$H$14)/Std_Curves!$H$13)/1000))</f>
        <v/>
      </c>
      <c r="AC45" s="23" t="str">
        <f aca="false">IF(OR(AB45="",Z45="",Y45=""),"",AB45*Z45/Y45)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14"/>
      <c r="I46" s="23" t="str">
        <f aca="false">IF(OR(ISNUMBER(Std_Curves!$B$13)=FALSE()),"",IF(OR(G46=""),"",(G46-Std_Curves!$B$14)/Std_Curves!$B$13))</f>
        <v/>
      </c>
      <c r="J46" s="23" t="str">
        <f aca="false">IF(OR(I46="",H46="",F46=""),"",(I46*H46/115.13)/(F46/5))</f>
        <v/>
      </c>
      <c r="K46" s="14"/>
      <c r="L46" s="14"/>
      <c r="M46" s="14"/>
      <c r="N46" s="14"/>
      <c r="O46" s="23" t="str">
        <f aca="false">IF(OR(M46="",N46="",K46="",L46=""),"",((M46-N46)/155)*1000*L46/K46)</f>
        <v/>
      </c>
      <c r="P46" s="14"/>
      <c r="Q46" s="14"/>
      <c r="R46" s="14"/>
      <c r="S46" s="23" t="str">
        <f aca="false">IF(OR(ISNUMBER(Std_Curves!$E$13)=FALSE()),"",IF(OR(R46="",P46="",Q46=""),"",((R46-Std_Curves!$E$14)/Std_Curves!$E$13)*Q46/P46))</f>
        <v/>
      </c>
      <c r="T46" s="14"/>
      <c r="U46" s="14"/>
      <c r="V46" s="14"/>
      <c r="W46" s="14"/>
      <c r="X46" s="23" t="str">
        <f aca="false">IF(OR(ISNUMBER(Std_Curves!$K$13)=FALSE()),"",IF(OR(W46="",T46="",U46="",V46=""),"",((W46-Std_Curves!$K$14)/Std_Curves!$K$13)*U46*V46/(T46*1000)))</f>
        <v/>
      </c>
      <c r="Y46" s="14"/>
      <c r="Z46" s="14"/>
      <c r="AA46" s="14"/>
      <c r="AB46" s="23" t="str">
        <f aca="false">IF(OR(ISNUMBER(Std_Curves!$H$13)=FALSE()),"",IF(OR(AA46=""),"",((AA46-Std_Curves!$H$14)/Std_Curves!$H$13)/1000))</f>
        <v/>
      </c>
      <c r="AC46" s="23" t="str">
        <f aca="false">IF(OR(AB46="",Z46="",Y46=""),"",AB46*Z46/Y46)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14"/>
      <c r="I47" s="23" t="str">
        <f aca="false">IF(OR(ISNUMBER(Std_Curves!$B$13)=FALSE()),"",IF(OR(G47=""),"",(G47-Std_Curves!$B$14)/Std_Curves!$B$13))</f>
        <v/>
      </c>
      <c r="J47" s="23" t="str">
        <f aca="false">IF(OR(I47="",H47="",F47=""),"",(I47*H47/115.13)/(F47/5))</f>
        <v/>
      </c>
      <c r="K47" s="14"/>
      <c r="L47" s="14"/>
      <c r="M47" s="14"/>
      <c r="N47" s="14"/>
      <c r="O47" s="23" t="str">
        <f aca="false">IF(OR(M47="",N47="",K47="",L47=""),"",((M47-N47)/155)*1000*L47/K47)</f>
        <v/>
      </c>
      <c r="P47" s="14"/>
      <c r="Q47" s="14"/>
      <c r="R47" s="14"/>
      <c r="S47" s="23" t="str">
        <f aca="false">IF(OR(ISNUMBER(Std_Curves!$E$13)=FALSE()),"",IF(OR(R47="",P47="",Q47=""),"",((R47-Std_Curves!$E$14)/Std_Curves!$E$13)*Q47/P47))</f>
        <v/>
      </c>
      <c r="T47" s="14"/>
      <c r="U47" s="14"/>
      <c r="V47" s="14"/>
      <c r="W47" s="14"/>
      <c r="X47" s="23" t="str">
        <f aca="false">IF(OR(ISNUMBER(Std_Curves!$K$13)=FALSE()),"",IF(OR(W47="",T47="",U47="",V47=""),"",((W47-Std_Curves!$K$14)/Std_Curves!$K$13)*U47*V47/(T47*1000)))</f>
        <v/>
      </c>
      <c r="Y47" s="14"/>
      <c r="Z47" s="14"/>
      <c r="AA47" s="14"/>
      <c r="AB47" s="23" t="str">
        <f aca="false">IF(OR(ISNUMBER(Std_Curves!$H$13)=FALSE()),"",IF(OR(AA47=""),"",((AA47-Std_Curves!$H$14)/Std_Curves!$H$13)/1000))</f>
        <v/>
      </c>
      <c r="AC47" s="23" t="str">
        <f aca="false">IF(OR(AB47="",Z47="",Y47=""),"",AB47*Z47/Y47)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14"/>
      <c r="I48" s="23" t="str">
        <f aca="false">IF(OR(ISNUMBER(Std_Curves!$B$13)=FALSE()),"",IF(OR(G48=""),"",(G48-Std_Curves!$B$14)/Std_Curves!$B$13))</f>
        <v/>
      </c>
      <c r="J48" s="23" t="str">
        <f aca="false">IF(OR(I48="",H48="",F48=""),"",(I48*H48/115.13)/(F48/5))</f>
        <v/>
      </c>
      <c r="K48" s="14"/>
      <c r="L48" s="14"/>
      <c r="M48" s="14"/>
      <c r="N48" s="14"/>
      <c r="O48" s="23" t="str">
        <f aca="false">IF(OR(M48="",N48="",K48="",L48=""),"",((M48-N48)/155)*1000*L48/K48)</f>
        <v/>
      </c>
      <c r="P48" s="14"/>
      <c r="Q48" s="14"/>
      <c r="R48" s="14"/>
      <c r="S48" s="23" t="str">
        <f aca="false">IF(OR(ISNUMBER(Std_Curves!$E$13)=FALSE()),"",IF(OR(R48="",P48="",Q48=""),"",((R48-Std_Curves!$E$14)/Std_Curves!$E$13)*Q48/P48))</f>
        <v/>
      </c>
      <c r="T48" s="14"/>
      <c r="U48" s="14"/>
      <c r="V48" s="14"/>
      <c r="W48" s="14"/>
      <c r="X48" s="23" t="str">
        <f aca="false">IF(OR(ISNUMBER(Std_Curves!$K$13)=FALSE()),"",IF(OR(W48="",T48="",U48="",V48=""),"",((W48-Std_Curves!$K$14)/Std_Curves!$K$13)*U48*V48/(T48*1000)))</f>
        <v/>
      </c>
      <c r="Y48" s="14"/>
      <c r="Z48" s="14"/>
      <c r="AA48" s="14"/>
      <c r="AB48" s="23" t="str">
        <f aca="false">IF(OR(ISNUMBER(Std_Curves!$H$13)=FALSE()),"",IF(OR(AA48=""),"",((AA48-Std_Curves!$H$14)/Std_Curves!$H$13)/1000))</f>
        <v/>
      </c>
      <c r="AC48" s="23" t="str">
        <f aca="false">IF(OR(AB48="",Z48="",Y48=""),"",AB48*Z48/Y48)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14"/>
      <c r="I49" s="23" t="str">
        <f aca="false">IF(OR(ISNUMBER(Std_Curves!$B$13)=FALSE()),"",IF(OR(G49=""),"",(G49-Std_Curves!$B$14)/Std_Curves!$B$13))</f>
        <v/>
      </c>
      <c r="J49" s="23" t="str">
        <f aca="false">IF(OR(I49="",H49="",F49=""),"",(I49*H49/115.13)/(F49/5))</f>
        <v/>
      </c>
      <c r="K49" s="14"/>
      <c r="L49" s="14"/>
      <c r="M49" s="14"/>
      <c r="N49" s="14"/>
      <c r="O49" s="23" t="str">
        <f aca="false">IF(OR(M49="",N49="",K49="",L49=""),"",((M49-N49)/155)*1000*L49/K49)</f>
        <v/>
      </c>
      <c r="P49" s="14"/>
      <c r="Q49" s="14"/>
      <c r="R49" s="14"/>
      <c r="S49" s="23" t="str">
        <f aca="false">IF(OR(ISNUMBER(Std_Curves!$E$13)=FALSE()),"",IF(OR(R49="",P49="",Q49=""),"",((R49-Std_Curves!$E$14)/Std_Curves!$E$13)*Q49/P49))</f>
        <v/>
      </c>
      <c r="T49" s="14"/>
      <c r="U49" s="14"/>
      <c r="V49" s="14"/>
      <c r="W49" s="14"/>
      <c r="X49" s="23" t="str">
        <f aca="false">IF(OR(ISNUMBER(Std_Curves!$K$13)=FALSE()),"",IF(OR(W49="",T49="",U49="",V49=""),"",((W49-Std_Curves!$K$14)/Std_Curves!$K$13)*U49*V49/(T49*1000)))</f>
        <v/>
      </c>
      <c r="Y49" s="14"/>
      <c r="Z49" s="14"/>
      <c r="AA49" s="14"/>
      <c r="AB49" s="23" t="str">
        <f aca="false">IF(OR(ISNUMBER(Std_Curves!$H$13)=FALSE()),"",IF(OR(AA49=""),"",((AA49-Std_Curves!$H$14)/Std_Curves!$H$13)/1000))</f>
        <v/>
      </c>
      <c r="AC49" s="23" t="str">
        <f aca="false">IF(OR(AB49="",Z49="",Y49=""),"",AB49*Z49/Y49)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14"/>
      <c r="I50" s="23" t="str">
        <f aca="false">IF(OR(ISNUMBER(Std_Curves!$B$13)=FALSE()),"",IF(OR(G50=""),"",(G50-Std_Curves!$B$14)/Std_Curves!$B$13))</f>
        <v/>
      </c>
      <c r="J50" s="23" t="str">
        <f aca="false">IF(OR(I50="",H50="",F50=""),"",(I50*H50/115.13)/(F50/5))</f>
        <v/>
      </c>
      <c r="K50" s="14"/>
      <c r="L50" s="14"/>
      <c r="M50" s="14"/>
      <c r="N50" s="14"/>
      <c r="O50" s="23" t="str">
        <f aca="false">IF(OR(M50="",N50="",K50="",L50=""),"",((M50-N50)/155)*1000*L50/K50)</f>
        <v/>
      </c>
      <c r="P50" s="14"/>
      <c r="Q50" s="14"/>
      <c r="R50" s="14"/>
      <c r="S50" s="23" t="str">
        <f aca="false">IF(OR(ISNUMBER(Std_Curves!$E$13)=FALSE()),"",IF(OR(R50="",P50="",Q50=""),"",((R50-Std_Curves!$E$14)/Std_Curves!$E$13)*Q50/P50))</f>
        <v/>
      </c>
      <c r="T50" s="14"/>
      <c r="U50" s="14"/>
      <c r="V50" s="14"/>
      <c r="W50" s="14"/>
      <c r="X50" s="23" t="str">
        <f aca="false">IF(OR(ISNUMBER(Std_Curves!$K$13)=FALSE()),"",IF(OR(W50="",T50="",U50="",V50=""),"",((W50-Std_Curves!$K$14)/Std_Curves!$K$13)*U50*V50/(T50*1000)))</f>
        <v/>
      </c>
      <c r="Y50" s="14"/>
      <c r="Z50" s="14"/>
      <c r="AA50" s="14"/>
      <c r="AB50" s="23" t="str">
        <f aca="false">IF(OR(ISNUMBER(Std_Curves!$H$13)=FALSE()),"",IF(OR(AA50=""),"",((AA50-Std_Curves!$H$14)/Std_Curves!$H$13)/1000))</f>
        <v/>
      </c>
      <c r="AC50" s="23" t="str">
        <f aca="false">IF(OR(AB50="",Z50="",Y50=""),"",AB50*Z50/Y50)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14"/>
      <c r="I51" s="23" t="str">
        <f aca="false">IF(OR(ISNUMBER(Std_Curves!$B$13)=FALSE()),"",IF(OR(G51=""),"",(G51-Std_Curves!$B$14)/Std_Curves!$B$13))</f>
        <v/>
      </c>
      <c r="J51" s="23" t="str">
        <f aca="false">IF(OR(I51="",H51="",F51=""),"",(I51*H51/115.13)/(F51/5))</f>
        <v/>
      </c>
      <c r="K51" s="14"/>
      <c r="L51" s="14"/>
      <c r="M51" s="14"/>
      <c r="N51" s="14"/>
      <c r="O51" s="23" t="str">
        <f aca="false">IF(OR(M51="",N51="",K51="",L51=""),"",((M51-N51)/155)*1000*L51/K51)</f>
        <v/>
      </c>
      <c r="P51" s="14"/>
      <c r="Q51" s="14"/>
      <c r="R51" s="14"/>
      <c r="S51" s="23" t="str">
        <f aca="false">IF(OR(ISNUMBER(Std_Curves!$E$13)=FALSE()),"",IF(OR(R51="",P51="",Q51=""),"",((R51-Std_Curves!$E$14)/Std_Curves!$E$13)*Q51/P51))</f>
        <v/>
      </c>
      <c r="T51" s="14"/>
      <c r="U51" s="14"/>
      <c r="V51" s="14"/>
      <c r="W51" s="14"/>
      <c r="X51" s="23" t="str">
        <f aca="false">IF(OR(ISNUMBER(Std_Curves!$K$13)=FALSE()),"",IF(OR(W51="",T51="",U51="",V51=""),"",((W51-Std_Curves!$K$14)/Std_Curves!$K$13)*U51*V51/(T51*1000)))</f>
        <v/>
      </c>
      <c r="Y51" s="14"/>
      <c r="Z51" s="14"/>
      <c r="AA51" s="14"/>
      <c r="AB51" s="23" t="str">
        <f aca="false">IF(OR(ISNUMBER(Std_Curves!$H$13)=FALSE()),"",IF(OR(AA51=""),"",((AA51-Std_Curves!$H$14)/Std_Curves!$H$13)/1000))</f>
        <v/>
      </c>
      <c r="AC51" s="23" t="str">
        <f aca="false">IF(OR(AB51="",Z51="",Y51=""),"",AB51*Z51/Y51)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14"/>
      <c r="I52" s="23" t="str">
        <f aca="false">IF(OR(ISNUMBER(Std_Curves!$B$13)=FALSE()),"",IF(OR(G52=""),"",(G52-Std_Curves!$B$14)/Std_Curves!$B$13))</f>
        <v/>
      </c>
      <c r="J52" s="23" t="str">
        <f aca="false">IF(OR(I52="",H52="",F52=""),"",(I52*H52/115.13)/(F52/5))</f>
        <v/>
      </c>
      <c r="K52" s="14"/>
      <c r="L52" s="14"/>
      <c r="M52" s="14"/>
      <c r="N52" s="14"/>
      <c r="O52" s="23" t="str">
        <f aca="false">IF(OR(M52="",N52="",K52="",L52=""),"",((M52-N52)/155)*1000*L52/K52)</f>
        <v/>
      </c>
      <c r="P52" s="14"/>
      <c r="Q52" s="14"/>
      <c r="R52" s="14"/>
      <c r="S52" s="23" t="str">
        <f aca="false">IF(OR(ISNUMBER(Std_Curves!$E$13)=FALSE()),"",IF(OR(R52="",P52="",Q52=""),"",((R52-Std_Curves!$E$14)/Std_Curves!$E$13)*Q52/P52))</f>
        <v/>
      </c>
      <c r="T52" s="14"/>
      <c r="U52" s="14"/>
      <c r="V52" s="14"/>
      <c r="W52" s="14"/>
      <c r="X52" s="23" t="str">
        <f aca="false">IF(OR(ISNUMBER(Std_Curves!$K$13)=FALSE()),"",IF(OR(W52="",T52="",U52="",V52=""),"",((W52-Std_Curves!$K$14)/Std_Curves!$K$13)*U52*V52/(T52*1000)))</f>
        <v/>
      </c>
      <c r="Y52" s="14"/>
      <c r="Z52" s="14"/>
      <c r="AA52" s="14"/>
      <c r="AB52" s="23" t="str">
        <f aca="false">IF(OR(ISNUMBER(Std_Curves!$H$13)=FALSE()),"",IF(OR(AA52=""),"",((AA52-Std_Curves!$H$14)/Std_Curves!$H$13)/1000))</f>
        <v/>
      </c>
      <c r="AC52" s="23" t="str">
        <f aca="false">IF(OR(AB52="",Z52="",Y52=""),"",AB52*Z52/Y52)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14"/>
      <c r="I53" s="23" t="str">
        <f aca="false">IF(OR(ISNUMBER(Std_Curves!$B$13)=FALSE()),"",IF(OR(G53=""),"",(G53-Std_Curves!$B$14)/Std_Curves!$B$13))</f>
        <v/>
      </c>
      <c r="J53" s="23" t="str">
        <f aca="false">IF(OR(I53="",H53="",F53=""),"",(I53*H53/115.13)/(F53/5))</f>
        <v/>
      </c>
      <c r="K53" s="14"/>
      <c r="L53" s="14"/>
      <c r="M53" s="14"/>
      <c r="N53" s="14"/>
      <c r="O53" s="23" t="str">
        <f aca="false">IF(OR(M53="",N53="",K53="",L53=""),"",((M53-N53)/155)*1000*L53/K53)</f>
        <v/>
      </c>
      <c r="P53" s="14"/>
      <c r="Q53" s="14"/>
      <c r="R53" s="14"/>
      <c r="S53" s="23" t="str">
        <f aca="false">IF(OR(ISNUMBER(Std_Curves!$E$13)=FALSE()),"",IF(OR(R53="",P53="",Q53=""),"",((R53-Std_Curves!$E$14)/Std_Curves!$E$13)*Q53/P53))</f>
        <v/>
      </c>
      <c r="T53" s="14"/>
      <c r="U53" s="14"/>
      <c r="V53" s="14"/>
      <c r="W53" s="14"/>
      <c r="X53" s="23" t="str">
        <f aca="false">IF(OR(ISNUMBER(Std_Curves!$K$13)=FALSE()),"",IF(OR(W53="",T53="",U53="",V53=""),"",((W53-Std_Curves!$K$14)/Std_Curves!$K$13)*U53*V53/(T53*1000)))</f>
        <v/>
      </c>
      <c r="Y53" s="14"/>
      <c r="Z53" s="14"/>
      <c r="AA53" s="14"/>
      <c r="AB53" s="23" t="str">
        <f aca="false">IF(OR(ISNUMBER(Std_Curves!$H$13)=FALSE()),"",IF(OR(AA53=""),"",((AA53-Std_Curves!$H$14)/Std_Curves!$H$13)/1000))</f>
        <v/>
      </c>
      <c r="AC53" s="23" t="str">
        <f aca="false">IF(OR(AB53="",Z53="",Y53=""),"",AB53*Z53/Y53)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14"/>
      <c r="I54" s="23" t="str">
        <f aca="false">IF(OR(ISNUMBER(Std_Curves!$B$13)=FALSE()),"",IF(OR(G54=""),"",(G54-Std_Curves!$B$14)/Std_Curves!$B$13))</f>
        <v/>
      </c>
      <c r="J54" s="23" t="str">
        <f aca="false">IF(OR(I54="",H54="",F54=""),"",(I54*H54/115.13)/(F54/5))</f>
        <v/>
      </c>
      <c r="K54" s="14"/>
      <c r="L54" s="14"/>
      <c r="M54" s="14"/>
      <c r="N54" s="14"/>
      <c r="O54" s="23" t="str">
        <f aca="false">IF(OR(M54="",N54="",K54="",L54=""),"",((M54-N54)/155)*1000*L54/K54)</f>
        <v/>
      </c>
      <c r="P54" s="14"/>
      <c r="Q54" s="14"/>
      <c r="R54" s="14"/>
      <c r="S54" s="23" t="str">
        <f aca="false">IF(OR(ISNUMBER(Std_Curves!$E$13)=FALSE()),"",IF(OR(R54="",P54="",Q54=""),"",((R54-Std_Curves!$E$14)/Std_Curves!$E$13)*Q54/P54))</f>
        <v/>
      </c>
      <c r="T54" s="14"/>
      <c r="U54" s="14"/>
      <c r="V54" s="14"/>
      <c r="W54" s="14"/>
      <c r="X54" s="23" t="str">
        <f aca="false">IF(OR(ISNUMBER(Std_Curves!$K$13)=FALSE()),"",IF(OR(W54="",T54="",U54="",V54=""),"",((W54-Std_Curves!$K$14)/Std_Curves!$K$13)*U54*V54/(T54*1000)))</f>
        <v/>
      </c>
      <c r="Y54" s="14"/>
      <c r="Z54" s="14"/>
      <c r="AA54" s="14"/>
      <c r="AB54" s="23" t="str">
        <f aca="false">IF(OR(ISNUMBER(Std_Curves!$H$13)=FALSE()),"",IF(OR(AA54=""),"",((AA54-Std_Curves!$H$14)/Std_Curves!$H$13)/1000))</f>
        <v/>
      </c>
      <c r="AC54" s="23" t="str">
        <f aca="false">IF(OR(AB54="",Z54="",Y54=""),"",AB54*Z54/Y54)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14"/>
      <c r="I55" s="23" t="str">
        <f aca="false">IF(OR(ISNUMBER(Std_Curves!$B$13)=FALSE()),"",IF(OR(G55=""),"",(G55-Std_Curves!$B$14)/Std_Curves!$B$13))</f>
        <v/>
      </c>
      <c r="J55" s="23" t="str">
        <f aca="false">IF(OR(I55="",H55="",F55=""),"",(I55*H55/115.13)/(F55/5))</f>
        <v/>
      </c>
      <c r="K55" s="14"/>
      <c r="L55" s="14"/>
      <c r="M55" s="14"/>
      <c r="N55" s="14"/>
      <c r="O55" s="23" t="str">
        <f aca="false">IF(OR(M55="",N55="",K55="",L55=""),"",((M55-N55)/155)*1000*L55/K55)</f>
        <v/>
      </c>
      <c r="P55" s="14"/>
      <c r="Q55" s="14"/>
      <c r="R55" s="14"/>
      <c r="S55" s="23" t="str">
        <f aca="false">IF(OR(ISNUMBER(Std_Curves!$E$13)=FALSE()),"",IF(OR(R55="",P55="",Q55=""),"",((R55-Std_Curves!$E$14)/Std_Curves!$E$13)*Q55/P55))</f>
        <v/>
      </c>
      <c r="T55" s="14"/>
      <c r="U55" s="14"/>
      <c r="V55" s="14"/>
      <c r="W55" s="14"/>
      <c r="X55" s="23" t="str">
        <f aca="false">IF(OR(ISNUMBER(Std_Curves!$K$13)=FALSE()),"",IF(OR(W55="",T55="",U55="",V55=""),"",((W55-Std_Curves!$K$14)/Std_Curves!$K$13)*U55*V55/(T55*1000)))</f>
        <v/>
      </c>
      <c r="Y55" s="14"/>
      <c r="Z55" s="14"/>
      <c r="AA55" s="14"/>
      <c r="AB55" s="23" t="str">
        <f aca="false">IF(OR(ISNUMBER(Std_Curves!$H$13)=FALSE()),"",IF(OR(AA55=""),"",((AA55-Std_Curves!$H$14)/Std_Curves!$H$13)/1000))</f>
        <v/>
      </c>
      <c r="AC55" s="23" t="str">
        <f aca="false">IF(OR(AB55="",Z55="",Y55=""),"",AB55*Z55/Y55)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14"/>
      <c r="I56" s="23" t="str">
        <f aca="false">IF(OR(ISNUMBER(Std_Curves!$B$13)=FALSE()),"",IF(OR(G56=""),"",(G56-Std_Curves!$B$14)/Std_Curves!$B$13))</f>
        <v/>
      </c>
      <c r="J56" s="23" t="str">
        <f aca="false">IF(OR(I56="",H56="",F56=""),"",(I56*H56/115.13)/(F56/5))</f>
        <v/>
      </c>
      <c r="K56" s="14"/>
      <c r="L56" s="14"/>
      <c r="M56" s="14"/>
      <c r="N56" s="14"/>
      <c r="O56" s="23" t="str">
        <f aca="false">IF(OR(M56="",N56="",K56="",L56=""),"",((M56-N56)/155)*1000*L56/K56)</f>
        <v/>
      </c>
      <c r="P56" s="14"/>
      <c r="Q56" s="14"/>
      <c r="R56" s="14"/>
      <c r="S56" s="23" t="str">
        <f aca="false">IF(OR(ISNUMBER(Std_Curves!$E$13)=FALSE()),"",IF(OR(R56="",P56="",Q56=""),"",((R56-Std_Curves!$E$14)/Std_Curves!$E$13)*Q56/P56))</f>
        <v/>
      </c>
      <c r="T56" s="14"/>
      <c r="U56" s="14"/>
      <c r="V56" s="14"/>
      <c r="W56" s="14"/>
      <c r="X56" s="23" t="str">
        <f aca="false">IF(OR(ISNUMBER(Std_Curves!$K$13)=FALSE()),"",IF(OR(W56="",T56="",U56="",V56=""),"",((W56-Std_Curves!$K$14)/Std_Curves!$K$13)*U56*V56/(T56*1000)))</f>
        <v/>
      </c>
      <c r="Y56" s="14"/>
      <c r="Z56" s="14"/>
      <c r="AA56" s="14"/>
      <c r="AB56" s="23" t="str">
        <f aca="false">IF(OR(ISNUMBER(Std_Curves!$H$13)=FALSE()),"",IF(OR(AA56=""),"",((AA56-Std_Curves!$H$14)/Std_Curves!$H$13)/1000))</f>
        <v/>
      </c>
      <c r="AC56" s="23" t="str">
        <f aca="false">IF(OR(AB56="",Z56="",Y56=""),"",AB56*Z56/Y56)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14"/>
      <c r="I57" s="23" t="str">
        <f aca="false">IF(OR(ISNUMBER(Std_Curves!$B$13)=FALSE()),"",IF(OR(G57=""),"",(G57-Std_Curves!$B$14)/Std_Curves!$B$13))</f>
        <v/>
      </c>
      <c r="J57" s="23" t="str">
        <f aca="false">IF(OR(I57="",H57="",F57=""),"",(I57*H57/115.13)/(F57/5))</f>
        <v/>
      </c>
      <c r="K57" s="14"/>
      <c r="L57" s="14"/>
      <c r="M57" s="14"/>
      <c r="N57" s="14"/>
      <c r="O57" s="23" t="str">
        <f aca="false">IF(OR(M57="",N57="",K57="",L57=""),"",((M57-N57)/155)*1000*L57/K57)</f>
        <v/>
      </c>
      <c r="P57" s="14"/>
      <c r="Q57" s="14"/>
      <c r="R57" s="14"/>
      <c r="S57" s="23" t="str">
        <f aca="false">IF(OR(ISNUMBER(Std_Curves!$E$13)=FALSE()),"",IF(OR(R57="",P57="",Q57=""),"",((R57-Std_Curves!$E$14)/Std_Curves!$E$13)*Q57/P57))</f>
        <v/>
      </c>
      <c r="T57" s="14"/>
      <c r="U57" s="14"/>
      <c r="V57" s="14"/>
      <c r="W57" s="14"/>
      <c r="X57" s="23" t="str">
        <f aca="false">IF(OR(ISNUMBER(Std_Curves!$K$13)=FALSE()),"",IF(OR(W57="",T57="",U57="",V57=""),"",((W57-Std_Curves!$K$14)/Std_Curves!$K$13)*U57*V57/(T57*1000)))</f>
        <v/>
      </c>
      <c r="Y57" s="14"/>
      <c r="Z57" s="14"/>
      <c r="AA57" s="14"/>
      <c r="AB57" s="23" t="str">
        <f aca="false">IF(OR(ISNUMBER(Std_Curves!$H$13)=FALSE()),"",IF(OR(AA57=""),"",((AA57-Std_Curves!$H$14)/Std_Curves!$H$13)/1000))</f>
        <v/>
      </c>
      <c r="AC57" s="23" t="str">
        <f aca="false">IF(OR(AB57="",Z57="",Y57=""),"",AB57*Z57/Y57)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14"/>
      <c r="I58" s="23" t="str">
        <f aca="false">IF(OR(ISNUMBER(Std_Curves!$B$13)=FALSE()),"",IF(OR(G58=""),"",(G58-Std_Curves!$B$14)/Std_Curves!$B$13))</f>
        <v/>
      </c>
      <c r="J58" s="23" t="str">
        <f aca="false">IF(OR(I58="",H58="",F58=""),"",(I58*H58/115.13)/(F58/5))</f>
        <v/>
      </c>
      <c r="K58" s="14"/>
      <c r="L58" s="14"/>
      <c r="M58" s="14"/>
      <c r="N58" s="14"/>
      <c r="O58" s="23" t="str">
        <f aca="false">IF(OR(M58="",N58="",K58="",L58=""),"",((M58-N58)/155)*1000*L58/K58)</f>
        <v/>
      </c>
      <c r="P58" s="14"/>
      <c r="Q58" s="14"/>
      <c r="R58" s="14"/>
      <c r="S58" s="23" t="str">
        <f aca="false">IF(OR(ISNUMBER(Std_Curves!$E$13)=FALSE()),"",IF(OR(R58="",P58="",Q58=""),"",((R58-Std_Curves!$E$14)/Std_Curves!$E$13)*Q58/P58))</f>
        <v/>
      </c>
      <c r="T58" s="14"/>
      <c r="U58" s="14"/>
      <c r="V58" s="14"/>
      <c r="W58" s="14"/>
      <c r="X58" s="23" t="str">
        <f aca="false">IF(OR(ISNUMBER(Std_Curves!$K$13)=FALSE()),"",IF(OR(W58="",T58="",U58="",V58=""),"",((W58-Std_Curves!$K$14)/Std_Curves!$K$13)*U58*V58/(T58*1000)))</f>
        <v/>
      </c>
      <c r="Y58" s="14"/>
      <c r="Z58" s="14"/>
      <c r="AA58" s="14"/>
      <c r="AB58" s="23" t="str">
        <f aca="false">IF(OR(ISNUMBER(Std_Curves!$H$13)=FALSE()),"",IF(OR(AA58=""),"",((AA58-Std_Curves!$H$14)/Std_Curves!$H$13)/1000))</f>
        <v/>
      </c>
      <c r="AC58" s="23" t="str">
        <f aca="false">IF(OR(AB58="",Z58="",Y58=""),"",AB58*Z58/Y58)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14"/>
      <c r="I59" s="23" t="str">
        <f aca="false">IF(OR(ISNUMBER(Std_Curves!$B$13)=FALSE()),"",IF(OR(G59=""),"",(G59-Std_Curves!$B$14)/Std_Curves!$B$13))</f>
        <v/>
      </c>
      <c r="J59" s="23" t="str">
        <f aca="false">IF(OR(I59="",H59="",F59=""),"",(I59*H59/115.13)/(F59/5))</f>
        <v/>
      </c>
      <c r="K59" s="14"/>
      <c r="L59" s="14"/>
      <c r="M59" s="14"/>
      <c r="N59" s="14"/>
      <c r="O59" s="23" t="str">
        <f aca="false">IF(OR(M59="",N59="",K59="",L59=""),"",((M59-N59)/155)*1000*L59/K59)</f>
        <v/>
      </c>
      <c r="P59" s="14"/>
      <c r="Q59" s="14"/>
      <c r="R59" s="14"/>
      <c r="S59" s="23" t="str">
        <f aca="false">IF(OR(ISNUMBER(Std_Curves!$E$13)=FALSE()),"",IF(OR(R59="",P59="",Q59=""),"",((R59-Std_Curves!$E$14)/Std_Curves!$E$13)*Q59/P59))</f>
        <v/>
      </c>
      <c r="T59" s="14"/>
      <c r="U59" s="14"/>
      <c r="V59" s="14"/>
      <c r="W59" s="14"/>
      <c r="X59" s="23" t="str">
        <f aca="false">IF(OR(ISNUMBER(Std_Curves!$K$13)=FALSE()),"",IF(OR(W59="",T59="",U59="",V59=""),"",((W59-Std_Curves!$K$14)/Std_Curves!$K$13)*U59*V59/(T59*1000)))</f>
        <v/>
      </c>
      <c r="Y59" s="14"/>
      <c r="Z59" s="14"/>
      <c r="AA59" s="14"/>
      <c r="AB59" s="23" t="str">
        <f aca="false">IF(OR(ISNUMBER(Std_Curves!$H$13)=FALSE()),"",IF(OR(AA59=""),"",((AA59-Std_Curves!$H$14)/Std_Curves!$H$13)/1000))</f>
        <v/>
      </c>
      <c r="AC59" s="23" t="str">
        <f aca="false">IF(OR(AB59="",Z59="",Y59=""),"",AB59*Z59/Y59)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14"/>
      <c r="I60" s="23" t="str">
        <f aca="false">IF(OR(ISNUMBER(Std_Curves!$B$13)=FALSE()),"",IF(OR(G60=""),"",(G60-Std_Curves!$B$14)/Std_Curves!$B$13))</f>
        <v/>
      </c>
      <c r="J60" s="23" t="str">
        <f aca="false">IF(OR(I60="",H60="",F60=""),"",(I60*H60/115.13)/(F60/5))</f>
        <v/>
      </c>
      <c r="K60" s="14"/>
      <c r="L60" s="14"/>
      <c r="M60" s="14"/>
      <c r="N60" s="14"/>
      <c r="O60" s="23" t="str">
        <f aca="false">IF(OR(M60="",N60="",K60="",L60=""),"",((M60-N60)/155)*1000*L60/K60)</f>
        <v/>
      </c>
      <c r="P60" s="14"/>
      <c r="Q60" s="14"/>
      <c r="R60" s="14"/>
      <c r="S60" s="23" t="str">
        <f aca="false">IF(OR(ISNUMBER(Std_Curves!$E$13)=FALSE()),"",IF(OR(R60="",P60="",Q60=""),"",((R60-Std_Curves!$E$14)/Std_Curves!$E$13)*Q60/P60))</f>
        <v/>
      </c>
      <c r="T60" s="14"/>
      <c r="U60" s="14"/>
      <c r="V60" s="14"/>
      <c r="W60" s="14"/>
      <c r="X60" s="23" t="str">
        <f aca="false">IF(OR(ISNUMBER(Std_Curves!$K$13)=FALSE()),"",IF(OR(W60="",T60="",U60="",V60=""),"",((W60-Std_Curves!$K$14)/Std_Curves!$K$13)*U60*V60/(T60*1000)))</f>
        <v/>
      </c>
      <c r="Y60" s="14"/>
      <c r="Z60" s="14"/>
      <c r="AA60" s="14"/>
      <c r="AB60" s="23" t="str">
        <f aca="false">IF(OR(ISNUMBER(Std_Curves!$H$13)=FALSE()),"",IF(OR(AA60=""),"",((AA60-Std_Curves!$H$14)/Std_Curves!$H$13)/1000))</f>
        <v/>
      </c>
      <c r="AC60" s="23" t="str">
        <f aca="false">IF(OR(AB60="",Z60="",Y60=""),"",AB60*Z60/Y60)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14"/>
      <c r="I61" s="23" t="str">
        <f aca="false">IF(OR(ISNUMBER(Std_Curves!$B$13)=FALSE()),"",IF(OR(G61=""),"",(G61-Std_Curves!$B$14)/Std_Curves!$B$13))</f>
        <v/>
      </c>
      <c r="J61" s="23" t="str">
        <f aca="false">IF(OR(I61="",H61="",F61=""),"",(I61*H61/115.13)/(F61/5))</f>
        <v/>
      </c>
      <c r="K61" s="14"/>
      <c r="L61" s="14"/>
      <c r="M61" s="14"/>
      <c r="N61" s="14"/>
      <c r="O61" s="23" t="str">
        <f aca="false">IF(OR(M61="",N61="",K61="",L61=""),"",((M61-N61)/155)*1000*L61/K61)</f>
        <v/>
      </c>
      <c r="P61" s="14"/>
      <c r="Q61" s="14"/>
      <c r="R61" s="14"/>
      <c r="S61" s="23" t="str">
        <f aca="false">IF(OR(ISNUMBER(Std_Curves!$E$13)=FALSE()),"",IF(OR(R61="",P61="",Q61=""),"",((R61-Std_Curves!$E$14)/Std_Curves!$E$13)*Q61/P61))</f>
        <v/>
      </c>
      <c r="T61" s="14"/>
      <c r="U61" s="14"/>
      <c r="V61" s="14"/>
      <c r="W61" s="14"/>
      <c r="X61" s="23" t="str">
        <f aca="false">IF(OR(ISNUMBER(Std_Curves!$K$13)=FALSE()),"",IF(OR(W61="",T61="",U61="",V61=""),"",((W61-Std_Curves!$K$14)/Std_Curves!$K$13)*U61*V61/(T61*1000)))</f>
        <v/>
      </c>
      <c r="Y61" s="14"/>
      <c r="Z61" s="14"/>
      <c r="AA61" s="14"/>
      <c r="AB61" s="23" t="str">
        <f aca="false">IF(OR(ISNUMBER(Std_Curves!$H$13)=FALSE()),"",IF(OR(AA61=""),"",((AA61-Std_Curves!$H$14)/Std_Curves!$H$13)/1000))</f>
        <v/>
      </c>
      <c r="AC61" s="23" t="str">
        <f aca="false">IF(OR(AB61="",Z61="",Y61=""),"",AB61*Z61/Y61)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14"/>
      <c r="I62" s="23" t="str">
        <f aca="false">IF(OR(ISNUMBER(Std_Curves!$B$13)=FALSE()),"",IF(OR(G62=""),"",(G62-Std_Curves!$B$14)/Std_Curves!$B$13))</f>
        <v/>
      </c>
      <c r="J62" s="23" t="str">
        <f aca="false">IF(OR(I62="",H62="",F62=""),"",(I62*H62/115.13)/(F62/5))</f>
        <v/>
      </c>
      <c r="K62" s="14"/>
      <c r="L62" s="14"/>
      <c r="M62" s="14"/>
      <c r="N62" s="14"/>
      <c r="O62" s="23" t="str">
        <f aca="false">IF(OR(M62="",N62="",K62="",L62=""),"",((M62-N62)/155)*1000*L62/K62)</f>
        <v/>
      </c>
      <c r="P62" s="14"/>
      <c r="Q62" s="14"/>
      <c r="R62" s="14"/>
      <c r="S62" s="23" t="str">
        <f aca="false">IF(OR(ISNUMBER(Std_Curves!$E$13)=FALSE()),"",IF(OR(R62="",P62="",Q62=""),"",((R62-Std_Curves!$E$14)/Std_Curves!$E$13)*Q62/P62))</f>
        <v/>
      </c>
      <c r="T62" s="14"/>
      <c r="U62" s="14"/>
      <c r="V62" s="14"/>
      <c r="W62" s="14"/>
      <c r="X62" s="23" t="str">
        <f aca="false">IF(OR(ISNUMBER(Std_Curves!$K$13)=FALSE()),"",IF(OR(W62="",T62="",U62="",V62=""),"",((W62-Std_Curves!$K$14)/Std_Curves!$K$13)*U62*V62/(T62*1000)))</f>
        <v/>
      </c>
      <c r="Y62" s="14"/>
      <c r="Z62" s="14"/>
      <c r="AA62" s="14"/>
      <c r="AB62" s="23" t="str">
        <f aca="false">IF(OR(ISNUMBER(Std_Curves!$H$13)=FALSE()),"",IF(OR(AA62=""),"",((AA62-Std_Curves!$H$14)/Std_Curves!$H$13)/1000))</f>
        <v/>
      </c>
      <c r="AC62" s="23" t="str">
        <f aca="false">IF(OR(AB62="",Z62="",Y62=""),"",AB62*Z62/Y62)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14"/>
      <c r="I63" s="23" t="str">
        <f aca="false">IF(OR(ISNUMBER(Std_Curves!$B$13)=FALSE()),"",IF(OR(G63=""),"",(G63-Std_Curves!$B$14)/Std_Curves!$B$13))</f>
        <v/>
      </c>
      <c r="J63" s="23" t="str">
        <f aca="false">IF(OR(I63="",H63="",F63=""),"",(I63*H63/115.13)/(F63/5))</f>
        <v/>
      </c>
      <c r="K63" s="14"/>
      <c r="L63" s="14"/>
      <c r="M63" s="14"/>
      <c r="N63" s="14"/>
      <c r="O63" s="23" t="str">
        <f aca="false">IF(OR(M63="",N63="",K63="",L63=""),"",((M63-N63)/155)*1000*L63/K63)</f>
        <v/>
      </c>
      <c r="P63" s="14"/>
      <c r="Q63" s="14"/>
      <c r="R63" s="14"/>
      <c r="S63" s="23" t="str">
        <f aca="false">IF(OR(ISNUMBER(Std_Curves!$E$13)=FALSE()),"",IF(OR(R63="",P63="",Q63=""),"",((R63-Std_Curves!$E$14)/Std_Curves!$E$13)*Q63/P63))</f>
        <v/>
      </c>
      <c r="T63" s="14"/>
      <c r="U63" s="14"/>
      <c r="V63" s="14"/>
      <c r="W63" s="14"/>
      <c r="X63" s="23" t="str">
        <f aca="false">IF(OR(ISNUMBER(Std_Curves!$K$13)=FALSE()),"",IF(OR(W63="",T63="",U63="",V63=""),"",((W63-Std_Curves!$K$14)/Std_Curves!$K$13)*U63*V63/(T63*1000)))</f>
        <v/>
      </c>
      <c r="Y63" s="14"/>
      <c r="Z63" s="14"/>
      <c r="AA63" s="14"/>
      <c r="AB63" s="23" t="str">
        <f aca="false">IF(OR(ISNUMBER(Std_Curves!$H$13)=FALSE()),"",IF(OR(AA63=""),"",((AA63-Std_Curves!$H$14)/Std_Curves!$H$13)/1000))</f>
        <v/>
      </c>
      <c r="AC63" s="23" t="str">
        <f aca="false">IF(OR(AB63="",Z63="",Y63=""),"",AB63*Z63/Y63)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14"/>
      <c r="I64" s="23" t="str">
        <f aca="false">IF(OR(ISNUMBER(Std_Curves!$B$13)=FALSE()),"",IF(OR(G64=""),"",(G64-Std_Curves!$B$14)/Std_Curves!$B$13))</f>
        <v/>
      </c>
      <c r="J64" s="23" t="str">
        <f aca="false">IF(OR(I64="",H64="",F64=""),"",(I64*H64/115.13)/(F64/5))</f>
        <v/>
      </c>
      <c r="K64" s="14"/>
      <c r="L64" s="14"/>
      <c r="M64" s="14"/>
      <c r="N64" s="14"/>
      <c r="O64" s="23" t="str">
        <f aca="false">IF(OR(M64="",N64="",K64="",L64=""),"",((M64-N64)/155)*1000*L64/K64)</f>
        <v/>
      </c>
      <c r="P64" s="14"/>
      <c r="Q64" s="14"/>
      <c r="R64" s="14"/>
      <c r="S64" s="23" t="str">
        <f aca="false">IF(OR(ISNUMBER(Std_Curves!$E$13)=FALSE()),"",IF(OR(R64="",P64="",Q64=""),"",((R64-Std_Curves!$E$14)/Std_Curves!$E$13)*Q64/P64))</f>
        <v/>
      </c>
      <c r="T64" s="14"/>
      <c r="U64" s="14"/>
      <c r="V64" s="14"/>
      <c r="W64" s="14"/>
      <c r="X64" s="23" t="str">
        <f aca="false">IF(OR(ISNUMBER(Std_Curves!$K$13)=FALSE()),"",IF(OR(W64="",T64="",U64="",V64=""),"",((W64-Std_Curves!$K$14)/Std_Curves!$K$13)*U64*V64/(T64*1000)))</f>
        <v/>
      </c>
      <c r="Y64" s="14"/>
      <c r="Z64" s="14"/>
      <c r="AA64" s="14"/>
      <c r="AB64" s="23" t="str">
        <f aca="false">IF(OR(ISNUMBER(Std_Curves!$H$13)=FALSE()),"",IF(OR(AA64=""),"",((AA64-Std_Curves!$H$14)/Std_Curves!$H$13)/1000))</f>
        <v/>
      </c>
      <c r="AC64" s="23" t="str">
        <f aca="false">IF(OR(AB64="",Z64="",Y64=""),"",AB64*Z64/Y64)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14"/>
      <c r="I65" s="23" t="str">
        <f aca="false">IF(OR(ISNUMBER(Std_Curves!$B$13)=FALSE()),"",IF(OR(G65=""),"",(G65-Std_Curves!$B$14)/Std_Curves!$B$13))</f>
        <v/>
      </c>
      <c r="J65" s="23" t="str">
        <f aca="false">IF(OR(I65="",H65="",F65=""),"",(I65*H65/115.13)/(F65/5))</f>
        <v/>
      </c>
      <c r="K65" s="14"/>
      <c r="L65" s="14"/>
      <c r="M65" s="14"/>
      <c r="N65" s="14"/>
      <c r="O65" s="23" t="str">
        <f aca="false">IF(OR(M65="",N65="",K65="",L65=""),"",((M65-N65)/155)*1000*L65/K65)</f>
        <v/>
      </c>
      <c r="P65" s="14"/>
      <c r="Q65" s="14"/>
      <c r="R65" s="14"/>
      <c r="S65" s="23" t="str">
        <f aca="false">IF(OR(ISNUMBER(Std_Curves!$E$13)=FALSE()),"",IF(OR(R65="",P65="",Q65=""),"",((R65-Std_Curves!$E$14)/Std_Curves!$E$13)*Q65/P65))</f>
        <v/>
      </c>
      <c r="T65" s="14"/>
      <c r="U65" s="14"/>
      <c r="V65" s="14"/>
      <c r="W65" s="14"/>
      <c r="X65" s="23" t="str">
        <f aca="false">IF(OR(ISNUMBER(Std_Curves!$K$13)=FALSE()),"",IF(OR(W65="",T65="",U65="",V65=""),"",((W65-Std_Curves!$K$14)/Std_Curves!$K$13)*U65*V65/(T65*1000)))</f>
        <v/>
      </c>
      <c r="Y65" s="14"/>
      <c r="Z65" s="14"/>
      <c r="AA65" s="14"/>
      <c r="AB65" s="23" t="str">
        <f aca="false">IF(OR(ISNUMBER(Std_Curves!$H$13)=FALSE()),"",IF(OR(AA65=""),"",((AA65-Std_Curves!$H$14)/Std_Curves!$H$13)/1000))</f>
        <v/>
      </c>
      <c r="AC65" s="23" t="str">
        <f aca="false">IF(OR(AB65="",Z65="",Y65=""),"",AB65*Z65/Y65)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14"/>
      <c r="I66" s="23" t="str">
        <f aca="false">IF(OR(ISNUMBER(Std_Curves!$B$13)=FALSE()),"",IF(OR(G66=""),"",(G66-Std_Curves!$B$14)/Std_Curves!$B$13))</f>
        <v/>
      </c>
      <c r="J66" s="23" t="str">
        <f aca="false">IF(OR(I66="",H66="",F66=""),"",(I66*H66/115.13)/(F66/5))</f>
        <v/>
      </c>
      <c r="K66" s="14"/>
      <c r="L66" s="14"/>
      <c r="M66" s="14"/>
      <c r="N66" s="14"/>
      <c r="O66" s="23" t="str">
        <f aca="false">IF(OR(M66="",N66="",K66="",L66=""),"",((M66-N66)/155)*1000*L66/K66)</f>
        <v/>
      </c>
      <c r="P66" s="14"/>
      <c r="Q66" s="14"/>
      <c r="R66" s="14"/>
      <c r="S66" s="23" t="str">
        <f aca="false">IF(OR(ISNUMBER(Std_Curves!$E$13)=FALSE()),"",IF(OR(R66="",P66="",Q66=""),"",((R66-Std_Curves!$E$14)/Std_Curves!$E$13)*Q66/P66))</f>
        <v/>
      </c>
      <c r="T66" s="14"/>
      <c r="U66" s="14"/>
      <c r="V66" s="14"/>
      <c r="W66" s="14"/>
      <c r="X66" s="23" t="str">
        <f aca="false">IF(OR(ISNUMBER(Std_Curves!$K$13)=FALSE()),"",IF(OR(W66="",T66="",U66="",V66=""),"",((W66-Std_Curves!$K$14)/Std_Curves!$K$13)*U66*V66/(T66*1000)))</f>
        <v/>
      </c>
      <c r="Y66" s="14"/>
      <c r="Z66" s="14"/>
      <c r="AA66" s="14"/>
      <c r="AB66" s="23" t="str">
        <f aca="false">IF(OR(ISNUMBER(Std_Curves!$H$13)=FALSE()),"",IF(OR(AA66=""),"",((AA66-Std_Curves!$H$14)/Std_Curves!$H$13)/1000))</f>
        <v/>
      </c>
      <c r="AC66" s="23" t="str">
        <f aca="false">IF(OR(AB66="",Z66="",Y66=""),"",AB66*Z66/Y66)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14"/>
      <c r="I67" s="23" t="str">
        <f aca="false">IF(OR(ISNUMBER(Std_Curves!$B$13)=FALSE()),"",IF(OR(G67=""),"",(G67-Std_Curves!$B$14)/Std_Curves!$B$13))</f>
        <v/>
      </c>
      <c r="J67" s="23" t="str">
        <f aca="false">IF(OR(I67="",H67="",F67=""),"",(I67*H67/115.13)/(F67/5))</f>
        <v/>
      </c>
      <c r="K67" s="14"/>
      <c r="L67" s="14"/>
      <c r="M67" s="14"/>
      <c r="N67" s="14"/>
      <c r="O67" s="23" t="str">
        <f aca="false">IF(OR(M67="",N67="",K67="",L67=""),"",((M67-N67)/155)*1000*L67/K67)</f>
        <v/>
      </c>
      <c r="P67" s="14"/>
      <c r="Q67" s="14"/>
      <c r="R67" s="14"/>
      <c r="S67" s="23" t="str">
        <f aca="false">IF(OR(ISNUMBER(Std_Curves!$E$13)=FALSE()),"",IF(OR(R67="",P67="",Q67=""),"",((R67-Std_Curves!$E$14)/Std_Curves!$E$13)*Q67/P67))</f>
        <v/>
      </c>
      <c r="T67" s="14"/>
      <c r="U67" s="14"/>
      <c r="V67" s="14"/>
      <c r="W67" s="14"/>
      <c r="X67" s="23" t="str">
        <f aca="false">IF(OR(ISNUMBER(Std_Curves!$K$13)=FALSE()),"",IF(OR(W67="",T67="",U67="",V67=""),"",((W67-Std_Curves!$K$14)/Std_Curves!$K$13)*U67*V67/(T67*1000)))</f>
        <v/>
      </c>
      <c r="Y67" s="14"/>
      <c r="Z67" s="14"/>
      <c r="AA67" s="14"/>
      <c r="AB67" s="23" t="str">
        <f aca="false">IF(OR(ISNUMBER(Std_Curves!$H$13)=FALSE()),"",IF(OR(AA67=""),"",((AA67-Std_Curves!$H$14)/Std_Curves!$H$13)/1000))</f>
        <v/>
      </c>
      <c r="AC67" s="23" t="str">
        <f aca="false">IF(OR(AB67="",Z67="",Y67=""),"",AB67*Z67/Y67)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14"/>
      <c r="I68" s="23" t="str">
        <f aca="false">IF(OR(ISNUMBER(Std_Curves!$B$13)=FALSE()),"",IF(OR(G68=""),"",(G68-Std_Curves!$B$14)/Std_Curves!$B$13))</f>
        <v/>
      </c>
      <c r="J68" s="23" t="str">
        <f aca="false">IF(OR(I68="",H68="",F68=""),"",(I68*H68/115.13)/(F68/5))</f>
        <v/>
      </c>
      <c r="K68" s="14"/>
      <c r="L68" s="14"/>
      <c r="M68" s="14"/>
      <c r="N68" s="14"/>
      <c r="O68" s="23" t="str">
        <f aca="false">IF(OR(M68="",N68="",K68="",L68=""),"",((M68-N68)/155)*1000*L68/K68)</f>
        <v/>
      </c>
      <c r="P68" s="14"/>
      <c r="Q68" s="14"/>
      <c r="R68" s="14"/>
      <c r="S68" s="23" t="str">
        <f aca="false">IF(OR(ISNUMBER(Std_Curves!$E$13)=FALSE()),"",IF(OR(R68="",P68="",Q68=""),"",((R68-Std_Curves!$E$14)/Std_Curves!$E$13)*Q68/P68))</f>
        <v/>
      </c>
      <c r="T68" s="14"/>
      <c r="U68" s="14"/>
      <c r="V68" s="14"/>
      <c r="W68" s="14"/>
      <c r="X68" s="23" t="str">
        <f aca="false">IF(OR(ISNUMBER(Std_Curves!$K$13)=FALSE()),"",IF(OR(W68="",T68="",U68="",V68=""),"",((W68-Std_Curves!$K$14)/Std_Curves!$K$13)*U68*V68/(T68*1000)))</f>
        <v/>
      </c>
      <c r="Y68" s="14"/>
      <c r="Z68" s="14"/>
      <c r="AA68" s="14"/>
      <c r="AB68" s="23" t="str">
        <f aca="false">IF(OR(ISNUMBER(Std_Curves!$H$13)=FALSE()),"",IF(OR(AA68=""),"",((AA68-Std_Curves!$H$14)/Std_Curves!$H$13)/1000))</f>
        <v/>
      </c>
      <c r="AC68" s="23" t="str">
        <f aca="false">IF(OR(AB68="",Z68="",Y68=""),"",AB68*Z68/Y68)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14"/>
      <c r="I69" s="23" t="str">
        <f aca="false">IF(OR(ISNUMBER(Std_Curves!$B$13)=FALSE()),"",IF(OR(G69=""),"",(G69-Std_Curves!$B$14)/Std_Curves!$B$13))</f>
        <v/>
      </c>
      <c r="J69" s="23" t="str">
        <f aca="false">IF(OR(I69="",H69="",F69=""),"",(I69*H69/115.13)/(F69/5))</f>
        <v/>
      </c>
      <c r="K69" s="14"/>
      <c r="L69" s="14"/>
      <c r="M69" s="14"/>
      <c r="N69" s="14"/>
      <c r="O69" s="23" t="str">
        <f aca="false">IF(OR(M69="",N69="",K69="",L69=""),"",((M69-N69)/155)*1000*L69/K69)</f>
        <v/>
      </c>
      <c r="P69" s="14"/>
      <c r="Q69" s="14"/>
      <c r="R69" s="14"/>
      <c r="S69" s="23" t="str">
        <f aca="false">IF(OR(ISNUMBER(Std_Curves!$E$13)=FALSE()),"",IF(OR(R69="",P69="",Q69=""),"",((R69-Std_Curves!$E$14)/Std_Curves!$E$13)*Q69/P69))</f>
        <v/>
      </c>
      <c r="T69" s="14"/>
      <c r="U69" s="14"/>
      <c r="V69" s="14"/>
      <c r="W69" s="14"/>
      <c r="X69" s="23" t="str">
        <f aca="false">IF(OR(ISNUMBER(Std_Curves!$K$13)=FALSE()),"",IF(OR(W69="",T69="",U69="",V69=""),"",((W69-Std_Curves!$K$14)/Std_Curves!$K$13)*U69*V69/(T69*1000)))</f>
        <v/>
      </c>
      <c r="Y69" s="14"/>
      <c r="Z69" s="14"/>
      <c r="AA69" s="14"/>
      <c r="AB69" s="23" t="str">
        <f aca="false">IF(OR(ISNUMBER(Std_Curves!$H$13)=FALSE()),"",IF(OR(AA69=""),"",((AA69-Std_Curves!$H$14)/Std_Curves!$H$13)/1000))</f>
        <v/>
      </c>
      <c r="AC69" s="23" t="str">
        <f aca="false">IF(OR(AB69="",Z69="",Y69=""),"",AB69*Z69/Y69)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14"/>
      <c r="I70" s="23" t="str">
        <f aca="false">IF(OR(ISNUMBER(Std_Curves!$B$13)=FALSE()),"",IF(OR(G70=""),"",(G70-Std_Curves!$B$14)/Std_Curves!$B$13))</f>
        <v/>
      </c>
      <c r="J70" s="23" t="str">
        <f aca="false">IF(OR(I70="",H70="",F70=""),"",(I70*H70/115.13)/(F70/5))</f>
        <v/>
      </c>
      <c r="K70" s="14"/>
      <c r="L70" s="14"/>
      <c r="M70" s="14"/>
      <c r="N70" s="14"/>
      <c r="O70" s="23" t="str">
        <f aca="false">IF(OR(M70="",N70="",K70="",L70=""),"",((M70-N70)/155)*1000*L70/K70)</f>
        <v/>
      </c>
      <c r="P70" s="14"/>
      <c r="Q70" s="14"/>
      <c r="R70" s="14"/>
      <c r="S70" s="23" t="str">
        <f aca="false">IF(OR(ISNUMBER(Std_Curves!$E$13)=FALSE()),"",IF(OR(R70="",P70="",Q70=""),"",((R70-Std_Curves!$E$14)/Std_Curves!$E$13)*Q70/P70))</f>
        <v/>
      </c>
      <c r="T70" s="14"/>
      <c r="U70" s="14"/>
      <c r="V70" s="14"/>
      <c r="W70" s="14"/>
      <c r="X70" s="23" t="str">
        <f aca="false">IF(OR(ISNUMBER(Std_Curves!$K$13)=FALSE()),"",IF(OR(W70="",T70="",U70="",V70=""),"",((W70-Std_Curves!$K$14)/Std_Curves!$K$13)*U70*V70/(T70*1000)))</f>
        <v/>
      </c>
      <c r="Y70" s="14"/>
      <c r="Z70" s="14"/>
      <c r="AA70" s="14"/>
      <c r="AB70" s="23" t="str">
        <f aca="false">IF(OR(ISNUMBER(Std_Curves!$H$13)=FALSE()),"",IF(OR(AA70=""),"",((AA70-Std_Curves!$H$14)/Std_Curves!$H$13)/1000))</f>
        <v/>
      </c>
      <c r="AC70" s="23" t="str">
        <f aca="false">IF(OR(AB70="",Z70="",Y70=""),"",AB70*Z70/Y70)</f>
        <v/>
      </c>
    </row>
  </sheetData>
  <mergeCells count="6">
    <mergeCell ref="A4:E4"/>
    <mergeCell ref="F4:J4"/>
    <mergeCell ref="K4:O4"/>
    <mergeCell ref="P4:S4"/>
    <mergeCell ref="T4:X4"/>
    <mergeCell ref="Y4:A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25" min="3" style="0" width="12"/>
  </cols>
  <sheetData>
    <row r="1" customFormat="false" ht="16.1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2" t="s">
        <v>334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335</v>
      </c>
      <c r="G4" s="16"/>
      <c r="H4" s="16"/>
      <c r="I4" s="16" t="s">
        <v>336</v>
      </c>
      <c r="J4" s="16"/>
      <c r="K4" s="16"/>
      <c r="L4" s="16"/>
      <c r="M4" s="16"/>
      <c r="N4" s="16" t="s">
        <v>337</v>
      </c>
      <c r="O4" s="16"/>
      <c r="P4" s="16"/>
      <c r="Q4" s="16"/>
      <c r="R4" s="16" t="s">
        <v>338</v>
      </c>
      <c r="S4" s="16"/>
      <c r="T4" s="16"/>
      <c r="U4" s="16"/>
      <c r="V4" s="16" t="s">
        <v>339</v>
      </c>
      <c r="W4" s="16"/>
      <c r="X4" s="16"/>
      <c r="Y4" s="16"/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340</v>
      </c>
      <c r="G5" s="18" t="s">
        <v>341</v>
      </c>
      <c r="H5" s="18" t="s">
        <v>342</v>
      </c>
      <c r="I5" s="18" t="s">
        <v>343</v>
      </c>
      <c r="J5" s="18" t="s">
        <v>344</v>
      </c>
      <c r="K5" s="18" t="s">
        <v>345</v>
      </c>
      <c r="L5" s="18" t="s">
        <v>346</v>
      </c>
      <c r="M5" s="18" t="s">
        <v>347</v>
      </c>
      <c r="N5" s="18" t="s">
        <v>348</v>
      </c>
      <c r="O5" s="18" t="s">
        <v>349</v>
      </c>
      <c r="P5" s="18" t="s">
        <v>350</v>
      </c>
      <c r="Q5" s="18" t="s">
        <v>351</v>
      </c>
      <c r="R5" s="18" t="s">
        <v>352</v>
      </c>
      <c r="S5" s="18" t="s">
        <v>353</v>
      </c>
      <c r="T5" s="18" t="s">
        <v>354</v>
      </c>
      <c r="U5" s="18" t="s">
        <v>355</v>
      </c>
      <c r="V5" s="18" t="s">
        <v>356</v>
      </c>
      <c r="W5" s="18" t="s">
        <v>357</v>
      </c>
      <c r="X5" s="18" t="s">
        <v>358</v>
      </c>
      <c r="Y5" s="18" t="s">
        <v>359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0.5</v>
      </c>
      <c r="G6" s="21" t="n">
        <v>5</v>
      </c>
      <c r="H6" s="21" t="n">
        <v>1.2</v>
      </c>
      <c r="I6" s="21" t="n">
        <v>0.82</v>
      </c>
      <c r="J6" s="21" t="n">
        <v>0.41</v>
      </c>
      <c r="K6" s="21" t="n">
        <v>0.05</v>
      </c>
      <c r="L6" s="22" t="n">
        <f aca="false">IF(OR(I6="",J6=""),"",(I6-J6)/I6*100)</f>
        <v>50</v>
      </c>
      <c r="M6" s="22" t="n">
        <f aca="false">IF(OR(L6="",K6="",H6=""),"",(L6/50)/K6/H6)</f>
        <v>16.6666666666667</v>
      </c>
      <c r="N6" s="21" t="n">
        <v>0.045</v>
      </c>
      <c r="O6" s="21" t="n">
        <v>3</v>
      </c>
      <c r="P6" s="21" t="n">
        <v>0.1</v>
      </c>
      <c r="Q6" s="22" t="n">
        <f aca="false">IF(OR(N6="",O6="",P6="",H6=""),"",(N6/0.0436)*O6/P6/H6)</f>
        <v>25.802752293578</v>
      </c>
      <c r="R6" s="21" t="n">
        <v>0.03</v>
      </c>
      <c r="S6" s="21" t="n">
        <v>3</v>
      </c>
      <c r="T6" s="21" t="n">
        <v>0.1</v>
      </c>
      <c r="U6" s="22" t="n">
        <f aca="false">IF(OR(R6="",S6="",T6="",H6=""),"",(R6/2.8)*S6/T6/H6)</f>
        <v>0.267857142857143</v>
      </c>
      <c r="V6" s="21" t="n">
        <v>0.12</v>
      </c>
      <c r="W6" s="21" t="n">
        <v>3</v>
      </c>
      <c r="X6" s="21" t="n">
        <v>0.05</v>
      </c>
      <c r="Y6" s="22" t="n">
        <f aca="false">IF(OR(V6="",W6="",X6="",H6=""),"",(V6/26.6)*W6/X6/H6)</f>
        <v>0.225563909774436</v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14"/>
      <c r="I7" s="14"/>
      <c r="J7" s="14"/>
      <c r="K7" s="14"/>
      <c r="L7" s="23" t="str">
        <f aca="false">IF(OR(I7="",J7=""),"",(I7-J7)/I7*100)</f>
        <v/>
      </c>
      <c r="M7" s="23" t="str">
        <f aca="false">IF(OR(L7="",K7="",H7=""),"",(L7/50)/K7/H7)</f>
        <v/>
      </c>
      <c r="N7" s="14"/>
      <c r="O7" s="14"/>
      <c r="P7" s="14"/>
      <c r="Q7" s="23" t="str">
        <f aca="false">IF(OR(N7="",O7="",P7="",H7=""),"",(N7/0.0436)*O7/P7/H7)</f>
        <v/>
      </c>
      <c r="R7" s="14"/>
      <c r="S7" s="14"/>
      <c r="T7" s="14"/>
      <c r="U7" s="23" t="str">
        <f aca="false">IF(OR(R7="",S7="",T7="",H7=""),"",(R7/2.8)*S7/T7/H7)</f>
        <v/>
      </c>
      <c r="V7" s="14"/>
      <c r="W7" s="14"/>
      <c r="X7" s="14"/>
      <c r="Y7" s="23" t="str">
        <f aca="false">IF(OR(V7="",W7="",X7="",H7=""),"",(V7/26.6)*W7/X7/H7)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14"/>
      <c r="I8" s="14"/>
      <c r="J8" s="14"/>
      <c r="K8" s="14"/>
      <c r="L8" s="23" t="str">
        <f aca="false">IF(OR(I8="",J8=""),"",(I8-J8)/I8*100)</f>
        <v/>
      </c>
      <c r="M8" s="23" t="str">
        <f aca="false">IF(OR(L8="",K8="",H8=""),"",(L8/50)/K8/H8)</f>
        <v/>
      </c>
      <c r="N8" s="14"/>
      <c r="O8" s="14"/>
      <c r="P8" s="14"/>
      <c r="Q8" s="23" t="str">
        <f aca="false">IF(OR(N8="",O8="",P8="",H8=""),"",(N8/0.0436)*O8/P8/H8)</f>
        <v/>
      </c>
      <c r="R8" s="14"/>
      <c r="S8" s="14"/>
      <c r="T8" s="14"/>
      <c r="U8" s="23" t="str">
        <f aca="false">IF(OR(R8="",S8="",T8="",H8=""),"",(R8/2.8)*S8/T8/H8)</f>
        <v/>
      </c>
      <c r="V8" s="14"/>
      <c r="W8" s="14"/>
      <c r="X8" s="14"/>
      <c r="Y8" s="23" t="str">
        <f aca="false">IF(OR(V8="",W8="",X8="",H8=""),"",(V8/26.6)*W8/X8/H8)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14"/>
      <c r="I9" s="14"/>
      <c r="J9" s="14"/>
      <c r="K9" s="14"/>
      <c r="L9" s="23" t="str">
        <f aca="false">IF(OR(I9="",J9=""),"",(I9-J9)/I9*100)</f>
        <v/>
      </c>
      <c r="M9" s="23" t="str">
        <f aca="false">IF(OR(L9="",K9="",H9=""),"",(L9/50)/K9/H9)</f>
        <v/>
      </c>
      <c r="N9" s="14"/>
      <c r="O9" s="14"/>
      <c r="P9" s="14"/>
      <c r="Q9" s="23" t="str">
        <f aca="false">IF(OR(N9="",O9="",P9="",H9=""),"",(N9/0.0436)*O9/P9/H9)</f>
        <v/>
      </c>
      <c r="R9" s="14"/>
      <c r="S9" s="14"/>
      <c r="T9" s="14"/>
      <c r="U9" s="23" t="str">
        <f aca="false">IF(OR(R9="",S9="",T9="",H9=""),"",(R9/2.8)*S9/T9/H9)</f>
        <v/>
      </c>
      <c r="V9" s="14"/>
      <c r="W9" s="14"/>
      <c r="X9" s="14"/>
      <c r="Y9" s="23" t="str">
        <f aca="false">IF(OR(V9="",W9="",X9="",H9=""),"",(V9/26.6)*W9/X9/H9)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14"/>
      <c r="I10" s="14"/>
      <c r="J10" s="14"/>
      <c r="K10" s="14"/>
      <c r="L10" s="23" t="str">
        <f aca="false">IF(OR(I10="",J10=""),"",(I10-J10)/I10*100)</f>
        <v/>
      </c>
      <c r="M10" s="23" t="str">
        <f aca="false">IF(OR(L10="",K10="",H10=""),"",(L10/50)/K10/H10)</f>
        <v/>
      </c>
      <c r="N10" s="14"/>
      <c r="O10" s="14"/>
      <c r="P10" s="14"/>
      <c r="Q10" s="23" t="str">
        <f aca="false">IF(OR(N10="",O10="",P10="",H10=""),"",(N10/0.0436)*O10/P10/H10)</f>
        <v/>
      </c>
      <c r="R10" s="14"/>
      <c r="S10" s="14"/>
      <c r="T10" s="14"/>
      <c r="U10" s="23" t="str">
        <f aca="false">IF(OR(R10="",S10="",T10="",H10=""),"",(R10/2.8)*S10/T10/H10)</f>
        <v/>
      </c>
      <c r="V10" s="14"/>
      <c r="W10" s="14"/>
      <c r="X10" s="14"/>
      <c r="Y10" s="23" t="str">
        <f aca="false">IF(OR(V10="",W10="",X10="",H10=""),"",(V10/26.6)*W10/X10/H10)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14"/>
      <c r="I11" s="14"/>
      <c r="J11" s="14"/>
      <c r="K11" s="14"/>
      <c r="L11" s="23" t="str">
        <f aca="false">IF(OR(I11="",J11=""),"",(I11-J11)/I11*100)</f>
        <v/>
      </c>
      <c r="M11" s="23" t="str">
        <f aca="false">IF(OR(L11="",K11="",H11=""),"",(L11/50)/K11/H11)</f>
        <v/>
      </c>
      <c r="N11" s="14"/>
      <c r="O11" s="14"/>
      <c r="P11" s="14"/>
      <c r="Q11" s="23" t="str">
        <f aca="false">IF(OR(N11="",O11="",P11="",H11=""),"",(N11/0.0436)*O11/P11/H11)</f>
        <v/>
      </c>
      <c r="R11" s="14"/>
      <c r="S11" s="14"/>
      <c r="T11" s="14"/>
      <c r="U11" s="23" t="str">
        <f aca="false">IF(OR(R11="",S11="",T11="",H11=""),"",(R11/2.8)*S11/T11/H11)</f>
        <v/>
      </c>
      <c r="V11" s="14"/>
      <c r="W11" s="14"/>
      <c r="X11" s="14"/>
      <c r="Y11" s="23" t="str">
        <f aca="false">IF(OR(V11="",W11="",X11="",H11=""),"",(V11/26.6)*W11/X11/H11)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14"/>
      <c r="I12" s="14"/>
      <c r="J12" s="14"/>
      <c r="K12" s="14"/>
      <c r="L12" s="23" t="str">
        <f aca="false">IF(OR(I12="",J12=""),"",(I12-J12)/I12*100)</f>
        <v/>
      </c>
      <c r="M12" s="23" t="str">
        <f aca="false">IF(OR(L12="",K12="",H12=""),"",(L12/50)/K12/H12)</f>
        <v/>
      </c>
      <c r="N12" s="14"/>
      <c r="O12" s="14"/>
      <c r="P12" s="14"/>
      <c r="Q12" s="23" t="str">
        <f aca="false">IF(OR(N12="",O12="",P12="",H12=""),"",(N12/0.0436)*O12/P12/H12)</f>
        <v/>
      </c>
      <c r="R12" s="14"/>
      <c r="S12" s="14"/>
      <c r="T12" s="14"/>
      <c r="U12" s="23" t="str">
        <f aca="false">IF(OR(R12="",S12="",T12="",H12=""),"",(R12/2.8)*S12/T12/H12)</f>
        <v/>
      </c>
      <c r="V12" s="14"/>
      <c r="W12" s="14"/>
      <c r="X12" s="14"/>
      <c r="Y12" s="23" t="str">
        <f aca="false">IF(OR(V12="",W12="",X12="",H12=""),"",(V12/26.6)*W12/X12/H12)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14"/>
      <c r="I13" s="14"/>
      <c r="J13" s="14"/>
      <c r="K13" s="14"/>
      <c r="L13" s="23" t="str">
        <f aca="false">IF(OR(I13="",J13=""),"",(I13-J13)/I13*100)</f>
        <v/>
      </c>
      <c r="M13" s="23" t="str">
        <f aca="false">IF(OR(L13="",K13="",H13=""),"",(L13/50)/K13/H13)</f>
        <v/>
      </c>
      <c r="N13" s="14"/>
      <c r="O13" s="14"/>
      <c r="P13" s="14"/>
      <c r="Q13" s="23" t="str">
        <f aca="false">IF(OR(N13="",O13="",P13="",H13=""),"",(N13/0.0436)*O13/P13/H13)</f>
        <v/>
      </c>
      <c r="R13" s="14"/>
      <c r="S13" s="14"/>
      <c r="T13" s="14"/>
      <c r="U13" s="23" t="str">
        <f aca="false">IF(OR(R13="",S13="",T13="",H13=""),"",(R13/2.8)*S13/T13/H13)</f>
        <v/>
      </c>
      <c r="V13" s="14"/>
      <c r="W13" s="14"/>
      <c r="X13" s="14"/>
      <c r="Y13" s="23" t="str">
        <f aca="false">IF(OR(V13="",W13="",X13="",H13=""),"",(V13/26.6)*W13/X13/H13)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14"/>
      <c r="I14" s="14"/>
      <c r="J14" s="14"/>
      <c r="K14" s="14"/>
      <c r="L14" s="23" t="str">
        <f aca="false">IF(OR(I14="",J14=""),"",(I14-J14)/I14*100)</f>
        <v/>
      </c>
      <c r="M14" s="23" t="str">
        <f aca="false">IF(OR(L14="",K14="",H14=""),"",(L14/50)/K14/H14)</f>
        <v/>
      </c>
      <c r="N14" s="14"/>
      <c r="O14" s="14"/>
      <c r="P14" s="14"/>
      <c r="Q14" s="23" t="str">
        <f aca="false">IF(OR(N14="",O14="",P14="",H14=""),"",(N14/0.0436)*O14/P14/H14)</f>
        <v/>
      </c>
      <c r="R14" s="14"/>
      <c r="S14" s="14"/>
      <c r="T14" s="14"/>
      <c r="U14" s="23" t="str">
        <f aca="false">IF(OR(R14="",S14="",T14="",H14=""),"",(R14/2.8)*S14/T14/H14)</f>
        <v/>
      </c>
      <c r="V14" s="14"/>
      <c r="W14" s="14"/>
      <c r="X14" s="14"/>
      <c r="Y14" s="23" t="str">
        <f aca="false">IF(OR(V14="",W14="",X14="",H14=""),"",(V14/26.6)*W14/X14/H14)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14"/>
      <c r="I15" s="14"/>
      <c r="J15" s="14"/>
      <c r="K15" s="14"/>
      <c r="L15" s="23" t="str">
        <f aca="false">IF(OR(I15="",J15=""),"",(I15-J15)/I15*100)</f>
        <v/>
      </c>
      <c r="M15" s="23" t="str">
        <f aca="false">IF(OR(L15="",K15="",H15=""),"",(L15/50)/K15/H15)</f>
        <v/>
      </c>
      <c r="N15" s="14"/>
      <c r="O15" s="14"/>
      <c r="P15" s="14"/>
      <c r="Q15" s="23" t="str">
        <f aca="false">IF(OR(N15="",O15="",P15="",H15=""),"",(N15/0.0436)*O15/P15/H15)</f>
        <v/>
      </c>
      <c r="R15" s="14"/>
      <c r="S15" s="14"/>
      <c r="T15" s="14"/>
      <c r="U15" s="23" t="str">
        <f aca="false">IF(OR(R15="",S15="",T15="",H15=""),"",(R15/2.8)*S15/T15/H15)</f>
        <v/>
      </c>
      <c r="V15" s="14"/>
      <c r="W15" s="14"/>
      <c r="X15" s="14"/>
      <c r="Y15" s="23" t="str">
        <f aca="false">IF(OR(V15="",W15="",X15="",H15=""),"",(V15/26.6)*W15/X15/H15)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14"/>
      <c r="I16" s="14"/>
      <c r="J16" s="14"/>
      <c r="K16" s="14"/>
      <c r="L16" s="23" t="str">
        <f aca="false">IF(OR(I16="",J16=""),"",(I16-J16)/I16*100)</f>
        <v/>
      </c>
      <c r="M16" s="23" t="str">
        <f aca="false">IF(OR(L16="",K16="",H16=""),"",(L16/50)/K16/H16)</f>
        <v/>
      </c>
      <c r="N16" s="14"/>
      <c r="O16" s="14"/>
      <c r="P16" s="14"/>
      <c r="Q16" s="23" t="str">
        <f aca="false">IF(OR(N16="",O16="",P16="",H16=""),"",(N16/0.0436)*O16/P16/H16)</f>
        <v/>
      </c>
      <c r="R16" s="14"/>
      <c r="S16" s="14"/>
      <c r="T16" s="14"/>
      <c r="U16" s="23" t="str">
        <f aca="false">IF(OR(R16="",S16="",T16="",H16=""),"",(R16/2.8)*S16/T16/H16)</f>
        <v/>
      </c>
      <c r="V16" s="14"/>
      <c r="W16" s="14"/>
      <c r="X16" s="14"/>
      <c r="Y16" s="23" t="str">
        <f aca="false">IF(OR(V16="",W16="",X16="",H16=""),"",(V16/26.6)*W16/X16/H16)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14"/>
      <c r="I17" s="14"/>
      <c r="J17" s="14"/>
      <c r="K17" s="14"/>
      <c r="L17" s="23" t="str">
        <f aca="false">IF(OR(I17="",J17=""),"",(I17-J17)/I17*100)</f>
        <v/>
      </c>
      <c r="M17" s="23" t="str">
        <f aca="false">IF(OR(L17="",K17="",H17=""),"",(L17/50)/K17/H17)</f>
        <v/>
      </c>
      <c r="N17" s="14"/>
      <c r="O17" s="14"/>
      <c r="P17" s="14"/>
      <c r="Q17" s="23" t="str">
        <f aca="false">IF(OR(N17="",O17="",P17="",H17=""),"",(N17/0.0436)*O17/P17/H17)</f>
        <v/>
      </c>
      <c r="R17" s="14"/>
      <c r="S17" s="14"/>
      <c r="T17" s="14"/>
      <c r="U17" s="23" t="str">
        <f aca="false">IF(OR(R17="",S17="",T17="",H17=""),"",(R17/2.8)*S17/T17/H17)</f>
        <v/>
      </c>
      <c r="V17" s="14"/>
      <c r="W17" s="14"/>
      <c r="X17" s="14"/>
      <c r="Y17" s="23" t="str">
        <f aca="false">IF(OR(V17="",W17="",X17="",H17=""),"",(V17/26.6)*W17/X17/H17)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14"/>
      <c r="I18" s="14"/>
      <c r="J18" s="14"/>
      <c r="K18" s="14"/>
      <c r="L18" s="23" t="str">
        <f aca="false">IF(OR(I18="",J18=""),"",(I18-J18)/I18*100)</f>
        <v/>
      </c>
      <c r="M18" s="23" t="str">
        <f aca="false">IF(OR(L18="",K18="",H18=""),"",(L18/50)/K18/H18)</f>
        <v/>
      </c>
      <c r="N18" s="14"/>
      <c r="O18" s="14"/>
      <c r="P18" s="14"/>
      <c r="Q18" s="23" t="str">
        <f aca="false">IF(OR(N18="",O18="",P18="",H18=""),"",(N18/0.0436)*O18/P18/H18)</f>
        <v/>
      </c>
      <c r="R18" s="14"/>
      <c r="S18" s="14"/>
      <c r="T18" s="14"/>
      <c r="U18" s="23" t="str">
        <f aca="false">IF(OR(R18="",S18="",T18="",H18=""),"",(R18/2.8)*S18/T18/H18)</f>
        <v/>
      </c>
      <c r="V18" s="14"/>
      <c r="W18" s="14"/>
      <c r="X18" s="14"/>
      <c r="Y18" s="23" t="str">
        <f aca="false">IF(OR(V18="",W18="",X18="",H18=""),"",(V18/26.6)*W18/X18/H18)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14"/>
      <c r="I19" s="14"/>
      <c r="J19" s="14"/>
      <c r="K19" s="14"/>
      <c r="L19" s="23" t="str">
        <f aca="false">IF(OR(I19="",J19=""),"",(I19-J19)/I19*100)</f>
        <v/>
      </c>
      <c r="M19" s="23" t="str">
        <f aca="false">IF(OR(L19="",K19="",H19=""),"",(L19/50)/K19/H19)</f>
        <v/>
      </c>
      <c r="N19" s="14"/>
      <c r="O19" s="14"/>
      <c r="P19" s="14"/>
      <c r="Q19" s="23" t="str">
        <f aca="false">IF(OR(N19="",O19="",P19="",H19=""),"",(N19/0.0436)*O19/P19/H19)</f>
        <v/>
      </c>
      <c r="R19" s="14"/>
      <c r="S19" s="14"/>
      <c r="T19" s="14"/>
      <c r="U19" s="23" t="str">
        <f aca="false">IF(OR(R19="",S19="",T19="",H19=""),"",(R19/2.8)*S19/T19/H19)</f>
        <v/>
      </c>
      <c r="V19" s="14"/>
      <c r="W19" s="14"/>
      <c r="X19" s="14"/>
      <c r="Y19" s="23" t="str">
        <f aca="false">IF(OR(V19="",W19="",X19="",H19=""),"",(V19/26.6)*W19/X19/H19)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14"/>
      <c r="I20" s="14"/>
      <c r="J20" s="14"/>
      <c r="K20" s="14"/>
      <c r="L20" s="23" t="str">
        <f aca="false">IF(OR(I20="",J20=""),"",(I20-J20)/I20*100)</f>
        <v/>
      </c>
      <c r="M20" s="23" t="str">
        <f aca="false">IF(OR(L20="",K20="",H20=""),"",(L20/50)/K20/H20)</f>
        <v/>
      </c>
      <c r="N20" s="14"/>
      <c r="O20" s="14"/>
      <c r="P20" s="14"/>
      <c r="Q20" s="23" t="str">
        <f aca="false">IF(OR(N20="",O20="",P20="",H20=""),"",(N20/0.0436)*O20/P20/H20)</f>
        <v/>
      </c>
      <c r="R20" s="14"/>
      <c r="S20" s="14"/>
      <c r="T20" s="14"/>
      <c r="U20" s="23" t="str">
        <f aca="false">IF(OR(R20="",S20="",T20="",H20=""),"",(R20/2.8)*S20/T20/H20)</f>
        <v/>
      </c>
      <c r="V20" s="14"/>
      <c r="W20" s="14"/>
      <c r="X20" s="14"/>
      <c r="Y20" s="23" t="str">
        <f aca="false">IF(OR(V20="",W20="",X20="",H20=""),"",(V20/26.6)*W20/X20/H20)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14"/>
      <c r="I21" s="14"/>
      <c r="J21" s="14"/>
      <c r="K21" s="14"/>
      <c r="L21" s="23" t="str">
        <f aca="false">IF(OR(I21="",J21=""),"",(I21-J21)/I21*100)</f>
        <v/>
      </c>
      <c r="M21" s="23" t="str">
        <f aca="false">IF(OR(L21="",K21="",H21=""),"",(L21/50)/K21/H21)</f>
        <v/>
      </c>
      <c r="N21" s="14"/>
      <c r="O21" s="14"/>
      <c r="P21" s="14"/>
      <c r="Q21" s="23" t="str">
        <f aca="false">IF(OR(N21="",O21="",P21="",H21=""),"",(N21/0.0436)*O21/P21/H21)</f>
        <v/>
      </c>
      <c r="R21" s="14"/>
      <c r="S21" s="14"/>
      <c r="T21" s="14"/>
      <c r="U21" s="23" t="str">
        <f aca="false">IF(OR(R21="",S21="",T21="",H21=""),"",(R21/2.8)*S21/T21/H21)</f>
        <v/>
      </c>
      <c r="V21" s="14"/>
      <c r="W21" s="14"/>
      <c r="X21" s="14"/>
      <c r="Y21" s="23" t="str">
        <f aca="false">IF(OR(V21="",W21="",X21="",H21=""),"",(V21/26.6)*W21/X21/H21)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14"/>
      <c r="I22" s="14"/>
      <c r="J22" s="14"/>
      <c r="K22" s="14"/>
      <c r="L22" s="23" t="str">
        <f aca="false">IF(OR(I22="",J22=""),"",(I22-J22)/I22*100)</f>
        <v/>
      </c>
      <c r="M22" s="23" t="str">
        <f aca="false">IF(OR(L22="",K22="",H22=""),"",(L22/50)/K22/H22)</f>
        <v/>
      </c>
      <c r="N22" s="14"/>
      <c r="O22" s="14"/>
      <c r="P22" s="14"/>
      <c r="Q22" s="23" t="str">
        <f aca="false">IF(OR(N22="",O22="",P22="",H22=""),"",(N22/0.0436)*O22/P22/H22)</f>
        <v/>
      </c>
      <c r="R22" s="14"/>
      <c r="S22" s="14"/>
      <c r="T22" s="14"/>
      <c r="U22" s="23" t="str">
        <f aca="false">IF(OR(R22="",S22="",T22="",H22=""),"",(R22/2.8)*S22/T22/H22)</f>
        <v/>
      </c>
      <c r="V22" s="14"/>
      <c r="W22" s="14"/>
      <c r="X22" s="14"/>
      <c r="Y22" s="23" t="str">
        <f aca="false">IF(OR(V22="",W22="",X22="",H22=""),"",(V22/26.6)*W22/X22/H22)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14"/>
      <c r="I23" s="14"/>
      <c r="J23" s="14"/>
      <c r="K23" s="14"/>
      <c r="L23" s="23" t="str">
        <f aca="false">IF(OR(I23="",J23=""),"",(I23-J23)/I23*100)</f>
        <v/>
      </c>
      <c r="M23" s="23" t="str">
        <f aca="false">IF(OR(L23="",K23="",H23=""),"",(L23/50)/K23/H23)</f>
        <v/>
      </c>
      <c r="N23" s="14"/>
      <c r="O23" s="14"/>
      <c r="P23" s="14"/>
      <c r="Q23" s="23" t="str">
        <f aca="false">IF(OR(N23="",O23="",P23="",H23=""),"",(N23/0.0436)*O23/P23/H23)</f>
        <v/>
      </c>
      <c r="R23" s="14"/>
      <c r="S23" s="14"/>
      <c r="T23" s="14"/>
      <c r="U23" s="23" t="str">
        <f aca="false">IF(OR(R23="",S23="",T23="",H23=""),"",(R23/2.8)*S23/T23/H23)</f>
        <v/>
      </c>
      <c r="V23" s="14"/>
      <c r="W23" s="14"/>
      <c r="X23" s="14"/>
      <c r="Y23" s="23" t="str">
        <f aca="false">IF(OR(V23="",W23="",X23="",H23=""),"",(V23/26.6)*W23/X23/H23)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14"/>
      <c r="I24" s="14"/>
      <c r="J24" s="14"/>
      <c r="K24" s="14"/>
      <c r="L24" s="23" t="str">
        <f aca="false">IF(OR(I24="",J24=""),"",(I24-J24)/I24*100)</f>
        <v/>
      </c>
      <c r="M24" s="23" t="str">
        <f aca="false">IF(OR(L24="",K24="",H24=""),"",(L24/50)/K24/H24)</f>
        <v/>
      </c>
      <c r="N24" s="14"/>
      <c r="O24" s="14"/>
      <c r="P24" s="14"/>
      <c r="Q24" s="23" t="str">
        <f aca="false">IF(OR(N24="",O24="",P24="",H24=""),"",(N24/0.0436)*O24/P24/H24)</f>
        <v/>
      </c>
      <c r="R24" s="14"/>
      <c r="S24" s="14"/>
      <c r="T24" s="14"/>
      <c r="U24" s="23" t="str">
        <f aca="false">IF(OR(R24="",S24="",T24="",H24=""),"",(R24/2.8)*S24/T24/H24)</f>
        <v/>
      </c>
      <c r="V24" s="14"/>
      <c r="W24" s="14"/>
      <c r="X24" s="14"/>
      <c r="Y24" s="23" t="str">
        <f aca="false">IF(OR(V24="",W24="",X24="",H24=""),"",(V24/26.6)*W24/X24/H24)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14"/>
      <c r="I25" s="14"/>
      <c r="J25" s="14"/>
      <c r="K25" s="14"/>
      <c r="L25" s="23" t="str">
        <f aca="false">IF(OR(I25="",J25=""),"",(I25-J25)/I25*100)</f>
        <v/>
      </c>
      <c r="M25" s="23" t="str">
        <f aca="false">IF(OR(L25="",K25="",H25=""),"",(L25/50)/K25/H25)</f>
        <v/>
      </c>
      <c r="N25" s="14"/>
      <c r="O25" s="14"/>
      <c r="P25" s="14"/>
      <c r="Q25" s="23" t="str">
        <f aca="false">IF(OR(N25="",O25="",P25="",H25=""),"",(N25/0.0436)*O25/P25/H25)</f>
        <v/>
      </c>
      <c r="R25" s="14"/>
      <c r="S25" s="14"/>
      <c r="T25" s="14"/>
      <c r="U25" s="23" t="str">
        <f aca="false">IF(OR(R25="",S25="",T25="",H25=""),"",(R25/2.8)*S25/T25/H25)</f>
        <v/>
      </c>
      <c r="V25" s="14"/>
      <c r="W25" s="14"/>
      <c r="X25" s="14"/>
      <c r="Y25" s="23" t="str">
        <f aca="false">IF(OR(V25="",W25="",X25="",H25=""),"",(V25/26.6)*W25/X25/H25)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14"/>
      <c r="I26" s="14"/>
      <c r="J26" s="14"/>
      <c r="K26" s="14"/>
      <c r="L26" s="23" t="str">
        <f aca="false">IF(OR(I26="",J26=""),"",(I26-J26)/I26*100)</f>
        <v/>
      </c>
      <c r="M26" s="23" t="str">
        <f aca="false">IF(OR(L26="",K26="",H26=""),"",(L26/50)/K26/H26)</f>
        <v/>
      </c>
      <c r="N26" s="14"/>
      <c r="O26" s="14"/>
      <c r="P26" s="14"/>
      <c r="Q26" s="23" t="str">
        <f aca="false">IF(OR(N26="",O26="",P26="",H26=""),"",(N26/0.0436)*O26/P26/H26)</f>
        <v/>
      </c>
      <c r="R26" s="14"/>
      <c r="S26" s="14"/>
      <c r="T26" s="14"/>
      <c r="U26" s="23" t="str">
        <f aca="false">IF(OR(R26="",S26="",T26="",H26=""),"",(R26/2.8)*S26/T26/H26)</f>
        <v/>
      </c>
      <c r="V26" s="14"/>
      <c r="W26" s="14"/>
      <c r="X26" s="14"/>
      <c r="Y26" s="23" t="str">
        <f aca="false">IF(OR(V26="",W26="",X26="",H26=""),"",(V26/26.6)*W26/X26/H26)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14"/>
      <c r="I27" s="14"/>
      <c r="J27" s="14"/>
      <c r="K27" s="14"/>
      <c r="L27" s="23" t="str">
        <f aca="false">IF(OR(I27="",J27=""),"",(I27-J27)/I27*100)</f>
        <v/>
      </c>
      <c r="M27" s="23" t="str">
        <f aca="false">IF(OR(L27="",K27="",H27=""),"",(L27/50)/K27/H27)</f>
        <v/>
      </c>
      <c r="N27" s="14"/>
      <c r="O27" s="14"/>
      <c r="P27" s="14"/>
      <c r="Q27" s="23" t="str">
        <f aca="false">IF(OR(N27="",O27="",P27="",H27=""),"",(N27/0.0436)*O27/P27/H27)</f>
        <v/>
      </c>
      <c r="R27" s="14"/>
      <c r="S27" s="14"/>
      <c r="T27" s="14"/>
      <c r="U27" s="23" t="str">
        <f aca="false">IF(OR(R27="",S27="",T27="",H27=""),"",(R27/2.8)*S27/T27/H27)</f>
        <v/>
      </c>
      <c r="V27" s="14"/>
      <c r="W27" s="14"/>
      <c r="X27" s="14"/>
      <c r="Y27" s="23" t="str">
        <f aca="false">IF(OR(V27="",W27="",X27="",H27=""),"",(V27/26.6)*W27/X27/H27)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14"/>
      <c r="I28" s="14"/>
      <c r="J28" s="14"/>
      <c r="K28" s="14"/>
      <c r="L28" s="23" t="str">
        <f aca="false">IF(OR(I28="",J28=""),"",(I28-J28)/I28*100)</f>
        <v/>
      </c>
      <c r="M28" s="23" t="str">
        <f aca="false">IF(OR(L28="",K28="",H28=""),"",(L28/50)/K28/H28)</f>
        <v/>
      </c>
      <c r="N28" s="14"/>
      <c r="O28" s="14"/>
      <c r="P28" s="14"/>
      <c r="Q28" s="23" t="str">
        <f aca="false">IF(OR(N28="",O28="",P28="",H28=""),"",(N28/0.0436)*O28/P28/H28)</f>
        <v/>
      </c>
      <c r="R28" s="14"/>
      <c r="S28" s="14"/>
      <c r="T28" s="14"/>
      <c r="U28" s="23" t="str">
        <f aca="false">IF(OR(R28="",S28="",T28="",H28=""),"",(R28/2.8)*S28/T28/H28)</f>
        <v/>
      </c>
      <c r="V28" s="14"/>
      <c r="W28" s="14"/>
      <c r="X28" s="14"/>
      <c r="Y28" s="23" t="str">
        <f aca="false">IF(OR(V28="",W28="",X28="",H28=""),"",(V28/26.6)*W28/X28/H28)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14"/>
      <c r="I29" s="14"/>
      <c r="J29" s="14"/>
      <c r="K29" s="14"/>
      <c r="L29" s="23" t="str">
        <f aca="false">IF(OR(I29="",J29=""),"",(I29-J29)/I29*100)</f>
        <v/>
      </c>
      <c r="M29" s="23" t="str">
        <f aca="false">IF(OR(L29="",K29="",H29=""),"",(L29/50)/K29/H29)</f>
        <v/>
      </c>
      <c r="N29" s="14"/>
      <c r="O29" s="14"/>
      <c r="P29" s="14"/>
      <c r="Q29" s="23" t="str">
        <f aca="false">IF(OR(N29="",O29="",P29="",H29=""),"",(N29/0.0436)*O29/P29/H29)</f>
        <v/>
      </c>
      <c r="R29" s="14"/>
      <c r="S29" s="14"/>
      <c r="T29" s="14"/>
      <c r="U29" s="23" t="str">
        <f aca="false">IF(OR(R29="",S29="",T29="",H29=""),"",(R29/2.8)*S29/T29/H29)</f>
        <v/>
      </c>
      <c r="V29" s="14"/>
      <c r="W29" s="14"/>
      <c r="X29" s="14"/>
      <c r="Y29" s="23" t="str">
        <f aca="false">IF(OR(V29="",W29="",X29="",H29=""),"",(V29/26.6)*W29/X29/H29)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14"/>
      <c r="I30" s="14"/>
      <c r="J30" s="14"/>
      <c r="K30" s="14"/>
      <c r="L30" s="23" t="str">
        <f aca="false">IF(OR(I30="",J30=""),"",(I30-J30)/I30*100)</f>
        <v/>
      </c>
      <c r="M30" s="23" t="str">
        <f aca="false">IF(OR(L30="",K30="",H30=""),"",(L30/50)/K30/H30)</f>
        <v/>
      </c>
      <c r="N30" s="14"/>
      <c r="O30" s="14"/>
      <c r="P30" s="14"/>
      <c r="Q30" s="23" t="str">
        <f aca="false">IF(OR(N30="",O30="",P30="",H30=""),"",(N30/0.0436)*O30/P30/H30)</f>
        <v/>
      </c>
      <c r="R30" s="14"/>
      <c r="S30" s="14"/>
      <c r="T30" s="14"/>
      <c r="U30" s="23" t="str">
        <f aca="false">IF(OR(R30="",S30="",T30="",H30=""),"",(R30/2.8)*S30/T30/H30)</f>
        <v/>
      </c>
      <c r="V30" s="14"/>
      <c r="W30" s="14"/>
      <c r="X30" s="14"/>
      <c r="Y30" s="23" t="str">
        <f aca="false">IF(OR(V30="",W30="",X30="",H30=""),"",(V30/26.6)*W30/X30/H30)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14"/>
      <c r="I31" s="14"/>
      <c r="J31" s="14"/>
      <c r="K31" s="14"/>
      <c r="L31" s="23" t="str">
        <f aca="false">IF(OR(I31="",J31=""),"",(I31-J31)/I31*100)</f>
        <v/>
      </c>
      <c r="M31" s="23" t="str">
        <f aca="false">IF(OR(L31="",K31="",H31=""),"",(L31/50)/K31/H31)</f>
        <v/>
      </c>
      <c r="N31" s="14"/>
      <c r="O31" s="14"/>
      <c r="P31" s="14"/>
      <c r="Q31" s="23" t="str">
        <f aca="false">IF(OR(N31="",O31="",P31="",H31=""),"",(N31/0.0436)*O31/P31/H31)</f>
        <v/>
      </c>
      <c r="R31" s="14"/>
      <c r="S31" s="14"/>
      <c r="T31" s="14"/>
      <c r="U31" s="23" t="str">
        <f aca="false">IF(OR(R31="",S31="",T31="",H31=""),"",(R31/2.8)*S31/T31/H31)</f>
        <v/>
      </c>
      <c r="V31" s="14"/>
      <c r="W31" s="14"/>
      <c r="X31" s="14"/>
      <c r="Y31" s="23" t="str">
        <f aca="false">IF(OR(V31="",W31="",X31="",H31=""),"",(V31/26.6)*W31/X31/H31)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14"/>
      <c r="I32" s="14"/>
      <c r="J32" s="14"/>
      <c r="K32" s="14"/>
      <c r="L32" s="23" t="str">
        <f aca="false">IF(OR(I32="",J32=""),"",(I32-J32)/I32*100)</f>
        <v/>
      </c>
      <c r="M32" s="23" t="str">
        <f aca="false">IF(OR(L32="",K32="",H32=""),"",(L32/50)/K32/H32)</f>
        <v/>
      </c>
      <c r="N32" s="14"/>
      <c r="O32" s="14"/>
      <c r="P32" s="14"/>
      <c r="Q32" s="23" t="str">
        <f aca="false">IF(OR(N32="",O32="",P32="",H32=""),"",(N32/0.0436)*O32/P32/H32)</f>
        <v/>
      </c>
      <c r="R32" s="14"/>
      <c r="S32" s="14"/>
      <c r="T32" s="14"/>
      <c r="U32" s="23" t="str">
        <f aca="false">IF(OR(R32="",S32="",T32="",H32=""),"",(R32/2.8)*S32/T32/H32)</f>
        <v/>
      </c>
      <c r="V32" s="14"/>
      <c r="W32" s="14"/>
      <c r="X32" s="14"/>
      <c r="Y32" s="23" t="str">
        <f aca="false">IF(OR(V32="",W32="",X32="",H32=""),"",(V32/26.6)*W32/X32/H32)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14"/>
      <c r="I33" s="14"/>
      <c r="J33" s="14"/>
      <c r="K33" s="14"/>
      <c r="L33" s="23" t="str">
        <f aca="false">IF(OR(I33="",J33=""),"",(I33-J33)/I33*100)</f>
        <v/>
      </c>
      <c r="M33" s="23" t="str">
        <f aca="false">IF(OR(L33="",K33="",H33=""),"",(L33/50)/K33/H33)</f>
        <v/>
      </c>
      <c r="N33" s="14"/>
      <c r="O33" s="14"/>
      <c r="P33" s="14"/>
      <c r="Q33" s="23" t="str">
        <f aca="false">IF(OR(N33="",O33="",P33="",H33=""),"",(N33/0.0436)*O33/P33/H33)</f>
        <v/>
      </c>
      <c r="R33" s="14"/>
      <c r="S33" s="14"/>
      <c r="T33" s="14"/>
      <c r="U33" s="23" t="str">
        <f aca="false">IF(OR(R33="",S33="",T33="",H33=""),"",(R33/2.8)*S33/T33/H33)</f>
        <v/>
      </c>
      <c r="V33" s="14"/>
      <c r="W33" s="14"/>
      <c r="X33" s="14"/>
      <c r="Y33" s="23" t="str">
        <f aca="false">IF(OR(V33="",W33="",X33="",H33=""),"",(V33/26.6)*W33/X33/H33)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14"/>
      <c r="I34" s="14"/>
      <c r="J34" s="14"/>
      <c r="K34" s="14"/>
      <c r="L34" s="23" t="str">
        <f aca="false">IF(OR(I34="",J34=""),"",(I34-J34)/I34*100)</f>
        <v/>
      </c>
      <c r="M34" s="23" t="str">
        <f aca="false">IF(OR(L34="",K34="",H34=""),"",(L34/50)/K34/H34)</f>
        <v/>
      </c>
      <c r="N34" s="14"/>
      <c r="O34" s="14"/>
      <c r="P34" s="14"/>
      <c r="Q34" s="23" t="str">
        <f aca="false">IF(OR(N34="",O34="",P34="",H34=""),"",(N34/0.0436)*O34/P34/H34)</f>
        <v/>
      </c>
      <c r="R34" s="14"/>
      <c r="S34" s="14"/>
      <c r="T34" s="14"/>
      <c r="U34" s="23" t="str">
        <f aca="false">IF(OR(R34="",S34="",T34="",H34=""),"",(R34/2.8)*S34/T34/H34)</f>
        <v/>
      </c>
      <c r="V34" s="14"/>
      <c r="W34" s="14"/>
      <c r="X34" s="14"/>
      <c r="Y34" s="23" t="str">
        <f aca="false">IF(OR(V34="",W34="",X34="",H34=""),"",(V34/26.6)*W34/X34/H34)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14"/>
      <c r="I35" s="14"/>
      <c r="J35" s="14"/>
      <c r="K35" s="14"/>
      <c r="L35" s="23" t="str">
        <f aca="false">IF(OR(I35="",J35=""),"",(I35-J35)/I35*100)</f>
        <v/>
      </c>
      <c r="M35" s="23" t="str">
        <f aca="false">IF(OR(L35="",K35="",H35=""),"",(L35/50)/K35/H35)</f>
        <v/>
      </c>
      <c r="N35" s="14"/>
      <c r="O35" s="14"/>
      <c r="P35" s="14"/>
      <c r="Q35" s="23" t="str">
        <f aca="false">IF(OR(N35="",O35="",P35="",H35=""),"",(N35/0.0436)*O35/P35/H35)</f>
        <v/>
      </c>
      <c r="R35" s="14"/>
      <c r="S35" s="14"/>
      <c r="T35" s="14"/>
      <c r="U35" s="23" t="str">
        <f aca="false">IF(OR(R35="",S35="",T35="",H35=""),"",(R35/2.8)*S35/T35/H35)</f>
        <v/>
      </c>
      <c r="V35" s="14"/>
      <c r="W35" s="14"/>
      <c r="X35" s="14"/>
      <c r="Y35" s="23" t="str">
        <f aca="false">IF(OR(V35="",W35="",X35="",H35=""),"",(V35/26.6)*W35/X35/H35)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14"/>
      <c r="I36" s="14"/>
      <c r="J36" s="14"/>
      <c r="K36" s="14"/>
      <c r="L36" s="23" t="str">
        <f aca="false">IF(OR(I36="",J36=""),"",(I36-J36)/I36*100)</f>
        <v/>
      </c>
      <c r="M36" s="23" t="str">
        <f aca="false">IF(OR(L36="",K36="",H36=""),"",(L36/50)/K36/H36)</f>
        <v/>
      </c>
      <c r="N36" s="14"/>
      <c r="O36" s="14"/>
      <c r="P36" s="14"/>
      <c r="Q36" s="23" t="str">
        <f aca="false">IF(OR(N36="",O36="",P36="",H36=""),"",(N36/0.0436)*O36/P36/H36)</f>
        <v/>
      </c>
      <c r="R36" s="14"/>
      <c r="S36" s="14"/>
      <c r="T36" s="14"/>
      <c r="U36" s="23" t="str">
        <f aca="false">IF(OR(R36="",S36="",T36="",H36=""),"",(R36/2.8)*S36/T36/H36)</f>
        <v/>
      </c>
      <c r="V36" s="14"/>
      <c r="W36" s="14"/>
      <c r="X36" s="14"/>
      <c r="Y36" s="23" t="str">
        <f aca="false">IF(OR(V36="",W36="",X36="",H36=""),"",(V36/26.6)*W36/X36/H36)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14"/>
      <c r="I37" s="14"/>
      <c r="J37" s="14"/>
      <c r="K37" s="14"/>
      <c r="L37" s="23" t="str">
        <f aca="false">IF(OR(I37="",J37=""),"",(I37-J37)/I37*100)</f>
        <v/>
      </c>
      <c r="M37" s="23" t="str">
        <f aca="false">IF(OR(L37="",K37="",H37=""),"",(L37/50)/K37/H37)</f>
        <v/>
      </c>
      <c r="N37" s="14"/>
      <c r="O37" s="14"/>
      <c r="P37" s="14"/>
      <c r="Q37" s="23" t="str">
        <f aca="false">IF(OR(N37="",O37="",P37="",H37=""),"",(N37/0.0436)*O37/P37/H37)</f>
        <v/>
      </c>
      <c r="R37" s="14"/>
      <c r="S37" s="14"/>
      <c r="T37" s="14"/>
      <c r="U37" s="23" t="str">
        <f aca="false">IF(OR(R37="",S37="",T37="",H37=""),"",(R37/2.8)*S37/T37/H37)</f>
        <v/>
      </c>
      <c r="V37" s="14"/>
      <c r="W37" s="14"/>
      <c r="X37" s="14"/>
      <c r="Y37" s="23" t="str">
        <f aca="false">IF(OR(V37="",W37="",X37="",H37=""),"",(V37/26.6)*W37/X37/H37)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14"/>
      <c r="I38" s="14"/>
      <c r="J38" s="14"/>
      <c r="K38" s="14"/>
      <c r="L38" s="23" t="str">
        <f aca="false">IF(OR(I38="",J38=""),"",(I38-J38)/I38*100)</f>
        <v/>
      </c>
      <c r="M38" s="23" t="str">
        <f aca="false">IF(OR(L38="",K38="",H38=""),"",(L38/50)/K38/H38)</f>
        <v/>
      </c>
      <c r="N38" s="14"/>
      <c r="O38" s="14"/>
      <c r="P38" s="14"/>
      <c r="Q38" s="23" t="str">
        <f aca="false">IF(OR(N38="",O38="",P38="",H38=""),"",(N38/0.0436)*O38/P38/H38)</f>
        <v/>
      </c>
      <c r="R38" s="14"/>
      <c r="S38" s="14"/>
      <c r="T38" s="14"/>
      <c r="U38" s="23" t="str">
        <f aca="false">IF(OR(R38="",S38="",T38="",H38=""),"",(R38/2.8)*S38/T38/H38)</f>
        <v/>
      </c>
      <c r="V38" s="14"/>
      <c r="W38" s="14"/>
      <c r="X38" s="14"/>
      <c r="Y38" s="23" t="str">
        <f aca="false">IF(OR(V38="",W38="",X38="",H38=""),"",(V38/26.6)*W38/X38/H38)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14"/>
      <c r="I39" s="14"/>
      <c r="J39" s="14"/>
      <c r="K39" s="14"/>
      <c r="L39" s="23" t="str">
        <f aca="false">IF(OR(I39="",J39=""),"",(I39-J39)/I39*100)</f>
        <v/>
      </c>
      <c r="M39" s="23" t="str">
        <f aca="false">IF(OR(L39="",K39="",H39=""),"",(L39/50)/K39/H39)</f>
        <v/>
      </c>
      <c r="N39" s="14"/>
      <c r="O39" s="14"/>
      <c r="P39" s="14"/>
      <c r="Q39" s="23" t="str">
        <f aca="false">IF(OR(N39="",O39="",P39="",H39=""),"",(N39/0.0436)*O39/P39/H39)</f>
        <v/>
      </c>
      <c r="R39" s="14"/>
      <c r="S39" s="14"/>
      <c r="T39" s="14"/>
      <c r="U39" s="23" t="str">
        <f aca="false">IF(OR(R39="",S39="",T39="",H39=""),"",(R39/2.8)*S39/T39/H39)</f>
        <v/>
      </c>
      <c r="V39" s="14"/>
      <c r="W39" s="14"/>
      <c r="X39" s="14"/>
      <c r="Y39" s="23" t="str">
        <f aca="false">IF(OR(V39="",W39="",X39="",H39=""),"",(V39/26.6)*W39/X39/H39)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14"/>
      <c r="I40" s="14"/>
      <c r="J40" s="14"/>
      <c r="K40" s="14"/>
      <c r="L40" s="23" t="str">
        <f aca="false">IF(OR(I40="",J40=""),"",(I40-J40)/I40*100)</f>
        <v/>
      </c>
      <c r="M40" s="23" t="str">
        <f aca="false">IF(OR(L40="",K40="",H40=""),"",(L40/50)/K40/H40)</f>
        <v/>
      </c>
      <c r="N40" s="14"/>
      <c r="O40" s="14"/>
      <c r="P40" s="14"/>
      <c r="Q40" s="23" t="str">
        <f aca="false">IF(OR(N40="",O40="",P40="",H40=""),"",(N40/0.0436)*O40/P40/H40)</f>
        <v/>
      </c>
      <c r="R40" s="14"/>
      <c r="S40" s="14"/>
      <c r="T40" s="14"/>
      <c r="U40" s="23" t="str">
        <f aca="false">IF(OR(R40="",S40="",T40="",H40=""),"",(R40/2.8)*S40/T40/H40)</f>
        <v/>
      </c>
      <c r="V40" s="14"/>
      <c r="W40" s="14"/>
      <c r="X40" s="14"/>
      <c r="Y40" s="23" t="str">
        <f aca="false">IF(OR(V40="",W40="",X40="",H40=""),"",(V40/26.6)*W40/X40/H40)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14"/>
      <c r="I41" s="14"/>
      <c r="J41" s="14"/>
      <c r="K41" s="14"/>
      <c r="L41" s="23" t="str">
        <f aca="false">IF(OR(I41="",J41=""),"",(I41-J41)/I41*100)</f>
        <v/>
      </c>
      <c r="M41" s="23" t="str">
        <f aca="false">IF(OR(L41="",K41="",H41=""),"",(L41/50)/K41/H41)</f>
        <v/>
      </c>
      <c r="N41" s="14"/>
      <c r="O41" s="14"/>
      <c r="P41" s="14"/>
      <c r="Q41" s="23" t="str">
        <f aca="false">IF(OR(N41="",O41="",P41="",H41=""),"",(N41/0.0436)*O41/P41/H41)</f>
        <v/>
      </c>
      <c r="R41" s="14"/>
      <c r="S41" s="14"/>
      <c r="T41" s="14"/>
      <c r="U41" s="23" t="str">
        <f aca="false">IF(OR(R41="",S41="",T41="",H41=""),"",(R41/2.8)*S41/T41/H41)</f>
        <v/>
      </c>
      <c r="V41" s="14"/>
      <c r="W41" s="14"/>
      <c r="X41" s="14"/>
      <c r="Y41" s="23" t="str">
        <f aca="false">IF(OR(V41="",W41="",X41="",H41=""),"",(V41/26.6)*W41/X41/H41)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14"/>
      <c r="I42" s="14"/>
      <c r="J42" s="14"/>
      <c r="K42" s="14"/>
      <c r="L42" s="23" t="str">
        <f aca="false">IF(OR(I42="",J42=""),"",(I42-J42)/I42*100)</f>
        <v/>
      </c>
      <c r="M42" s="23" t="str">
        <f aca="false">IF(OR(L42="",K42="",H42=""),"",(L42/50)/K42/H42)</f>
        <v/>
      </c>
      <c r="N42" s="14"/>
      <c r="O42" s="14"/>
      <c r="P42" s="14"/>
      <c r="Q42" s="23" t="str">
        <f aca="false">IF(OR(N42="",O42="",P42="",H42=""),"",(N42/0.0436)*O42/P42/H42)</f>
        <v/>
      </c>
      <c r="R42" s="14"/>
      <c r="S42" s="14"/>
      <c r="T42" s="14"/>
      <c r="U42" s="23" t="str">
        <f aca="false">IF(OR(R42="",S42="",T42="",H42=""),"",(R42/2.8)*S42/T42/H42)</f>
        <v/>
      </c>
      <c r="V42" s="14"/>
      <c r="W42" s="14"/>
      <c r="X42" s="14"/>
      <c r="Y42" s="23" t="str">
        <f aca="false">IF(OR(V42="",W42="",X42="",H42=""),"",(V42/26.6)*W42/X42/H42)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14"/>
      <c r="I43" s="14"/>
      <c r="J43" s="14"/>
      <c r="K43" s="14"/>
      <c r="L43" s="23" t="str">
        <f aca="false">IF(OR(I43="",J43=""),"",(I43-J43)/I43*100)</f>
        <v/>
      </c>
      <c r="M43" s="23" t="str">
        <f aca="false">IF(OR(L43="",K43="",H43=""),"",(L43/50)/K43/H43)</f>
        <v/>
      </c>
      <c r="N43" s="14"/>
      <c r="O43" s="14"/>
      <c r="P43" s="14"/>
      <c r="Q43" s="23" t="str">
        <f aca="false">IF(OR(N43="",O43="",P43="",H43=""),"",(N43/0.0436)*O43/P43/H43)</f>
        <v/>
      </c>
      <c r="R43" s="14"/>
      <c r="S43" s="14"/>
      <c r="T43" s="14"/>
      <c r="U43" s="23" t="str">
        <f aca="false">IF(OR(R43="",S43="",T43="",H43=""),"",(R43/2.8)*S43/T43/H43)</f>
        <v/>
      </c>
      <c r="V43" s="14"/>
      <c r="W43" s="14"/>
      <c r="X43" s="14"/>
      <c r="Y43" s="23" t="str">
        <f aca="false">IF(OR(V43="",W43="",X43="",H43=""),"",(V43/26.6)*W43/X43/H43)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14"/>
      <c r="I44" s="14"/>
      <c r="J44" s="14"/>
      <c r="K44" s="14"/>
      <c r="L44" s="23" t="str">
        <f aca="false">IF(OR(I44="",J44=""),"",(I44-J44)/I44*100)</f>
        <v/>
      </c>
      <c r="M44" s="23" t="str">
        <f aca="false">IF(OR(L44="",K44="",H44=""),"",(L44/50)/K44/H44)</f>
        <v/>
      </c>
      <c r="N44" s="14"/>
      <c r="O44" s="14"/>
      <c r="P44" s="14"/>
      <c r="Q44" s="23" t="str">
        <f aca="false">IF(OR(N44="",O44="",P44="",H44=""),"",(N44/0.0436)*O44/P44/H44)</f>
        <v/>
      </c>
      <c r="R44" s="14"/>
      <c r="S44" s="14"/>
      <c r="T44" s="14"/>
      <c r="U44" s="23" t="str">
        <f aca="false">IF(OR(R44="",S44="",T44="",H44=""),"",(R44/2.8)*S44/T44/H44)</f>
        <v/>
      </c>
      <c r="V44" s="14"/>
      <c r="W44" s="14"/>
      <c r="X44" s="14"/>
      <c r="Y44" s="23" t="str">
        <f aca="false">IF(OR(V44="",W44="",X44="",H44=""),"",(V44/26.6)*W44/X44/H44)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14"/>
      <c r="I45" s="14"/>
      <c r="J45" s="14"/>
      <c r="K45" s="14"/>
      <c r="L45" s="23" t="str">
        <f aca="false">IF(OR(I45="",J45=""),"",(I45-J45)/I45*100)</f>
        <v/>
      </c>
      <c r="M45" s="23" t="str">
        <f aca="false">IF(OR(L45="",K45="",H45=""),"",(L45/50)/K45/H45)</f>
        <v/>
      </c>
      <c r="N45" s="14"/>
      <c r="O45" s="14"/>
      <c r="P45" s="14"/>
      <c r="Q45" s="23" t="str">
        <f aca="false">IF(OR(N45="",O45="",P45="",H45=""),"",(N45/0.0436)*O45/P45/H45)</f>
        <v/>
      </c>
      <c r="R45" s="14"/>
      <c r="S45" s="14"/>
      <c r="T45" s="14"/>
      <c r="U45" s="23" t="str">
        <f aca="false">IF(OR(R45="",S45="",T45="",H45=""),"",(R45/2.8)*S45/T45/H45)</f>
        <v/>
      </c>
      <c r="V45" s="14"/>
      <c r="W45" s="14"/>
      <c r="X45" s="14"/>
      <c r="Y45" s="23" t="str">
        <f aca="false">IF(OR(V45="",W45="",X45="",H45=""),"",(V45/26.6)*W45/X45/H45)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14"/>
      <c r="I46" s="14"/>
      <c r="J46" s="14"/>
      <c r="K46" s="14"/>
      <c r="L46" s="23" t="str">
        <f aca="false">IF(OR(I46="",J46=""),"",(I46-J46)/I46*100)</f>
        <v/>
      </c>
      <c r="M46" s="23" t="str">
        <f aca="false">IF(OR(L46="",K46="",H46=""),"",(L46/50)/K46/H46)</f>
        <v/>
      </c>
      <c r="N46" s="14"/>
      <c r="O46" s="14"/>
      <c r="P46" s="14"/>
      <c r="Q46" s="23" t="str">
        <f aca="false">IF(OR(N46="",O46="",P46="",H46=""),"",(N46/0.0436)*O46/P46/H46)</f>
        <v/>
      </c>
      <c r="R46" s="14"/>
      <c r="S46" s="14"/>
      <c r="T46" s="14"/>
      <c r="U46" s="23" t="str">
        <f aca="false">IF(OR(R46="",S46="",T46="",H46=""),"",(R46/2.8)*S46/T46/H46)</f>
        <v/>
      </c>
      <c r="V46" s="14"/>
      <c r="W46" s="14"/>
      <c r="X46" s="14"/>
      <c r="Y46" s="23" t="str">
        <f aca="false">IF(OR(V46="",W46="",X46="",H46=""),"",(V46/26.6)*W46/X46/H46)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14"/>
      <c r="I47" s="14"/>
      <c r="J47" s="14"/>
      <c r="K47" s="14"/>
      <c r="L47" s="23" t="str">
        <f aca="false">IF(OR(I47="",J47=""),"",(I47-J47)/I47*100)</f>
        <v/>
      </c>
      <c r="M47" s="23" t="str">
        <f aca="false">IF(OR(L47="",K47="",H47=""),"",(L47/50)/K47/H47)</f>
        <v/>
      </c>
      <c r="N47" s="14"/>
      <c r="O47" s="14"/>
      <c r="P47" s="14"/>
      <c r="Q47" s="23" t="str">
        <f aca="false">IF(OR(N47="",O47="",P47="",H47=""),"",(N47/0.0436)*O47/P47/H47)</f>
        <v/>
      </c>
      <c r="R47" s="14"/>
      <c r="S47" s="14"/>
      <c r="T47" s="14"/>
      <c r="U47" s="23" t="str">
        <f aca="false">IF(OR(R47="",S47="",T47="",H47=""),"",(R47/2.8)*S47/T47/H47)</f>
        <v/>
      </c>
      <c r="V47" s="14"/>
      <c r="W47" s="14"/>
      <c r="X47" s="14"/>
      <c r="Y47" s="23" t="str">
        <f aca="false">IF(OR(V47="",W47="",X47="",H47=""),"",(V47/26.6)*W47/X47/H47)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14"/>
      <c r="I48" s="14"/>
      <c r="J48" s="14"/>
      <c r="K48" s="14"/>
      <c r="L48" s="23" t="str">
        <f aca="false">IF(OR(I48="",J48=""),"",(I48-J48)/I48*100)</f>
        <v/>
      </c>
      <c r="M48" s="23" t="str">
        <f aca="false">IF(OR(L48="",K48="",H48=""),"",(L48/50)/K48/H48)</f>
        <v/>
      </c>
      <c r="N48" s="14"/>
      <c r="O48" s="14"/>
      <c r="P48" s="14"/>
      <c r="Q48" s="23" t="str">
        <f aca="false">IF(OR(N48="",O48="",P48="",H48=""),"",(N48/0.0436)*O48/P48/H48)</f>
        <v/>
      </c>
      <c r="R48" s="14"/>
      <c r="S48" s="14"/>
      <c r="T48" s="14"/>
      <c r="U48" s="23" t="str">
        <f aca="false">IF(OR(R48="",S48="",T48="",H48=""),"",(R48/2.8)*S48/T48/H48)</f>
        <v/>
      </c>
      <c r="V48" s="14"/>
      <c r="W48" s="14"/>
      <c r="X48" s="14"/>
      <c r="Y48" s="23" t="str">
        <f aca="false">IF(OR(V48="",W48="",X48="",H48=""),"",(V48/26.6)*W48/X48/H48)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14"/>
      <c r="I49" s="14"/>
      <c r="J49" s="14"/>
      <c r="K49" s="14"/>
      <c r="L49" s="23" t="str">
        <f aca="false">IF(OR(I49="",J49=""),"",(I49-J49)/I49*100)</f>
        <v/>
      </c>
      <c r="M49" s="23" t="str">
        <f aca="false">IF(OR(L49="",K49="",H49=""),"",(L49/50)/K49/H49)</f>
        <v/>
      </c>
      <c r="N49" s="14"/>
      <c r="O49" s="14"/>
      <c r="P49" s="14"/>
      <c r="Q49" s="23" t="str">
        <f aca="false">IF(OR(N49="",O49="",P49="",H49=""),"",(N49/0.0436)*O49/P49/H49)</f>
        <v/>
      </c>
      <c r="R49" s="14"/>
      <c r="S49" s="14"/>
      <c r="T49" s="14"/>
      <c r="U49" s="23" t="str">
        <f aca="false">IF(OR(R49="",S49="",T49="",H49=""),"",(R49/2.8)*S49/T49/H49)</f>
        <v/>
      </c>
      <c r="V49" s="14"/>
      <c r="W49" s="14"/>
      <c r="X49" s="14"/>
      <c r="Y49" s="23" t="str">
        <f aca="false">IF(OR(V49="",W49="",X49="",H49=""),"",(V49/26.6)*W49/X49/H49)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14"/>
      <c r="I50" s="14"/>
      <c r="J50" s="14"/>
      <c r="K50" s="14"/>
      <c r="L50" s="23" t="str">
        <f aca="false">IF(OR(I50="",J50=""),"",(I50-J50)/I50*100)</f>
        <v/>
      </c>
      <c r="M50" s="23" t="str">
        <f aca="false">IF(OR(L50="",K50="",H50=""),"",(L50/50)/K50/H50)</f>
        <v/>
      </c>
      <c r="N50" s="14"/>
      <c r="O50" s="14"/>
      <c r="P50" s="14"/>
      <c r="Q50" s="23" t="str">
        <f aca="false">IF(OR(N50="",O50="",P50="",H50=""),"",(N50/0.0436)*O50/P50/H50)</f>
        <v/>
      </c>
      <c r="R50" s="14"/>
      <c r="S50" s="14"/>
      <c r="T50" s="14"/>
      <c r="U50" s="23" t="str">
        <f aca="false">IF(OR(R50="",S50="",T50="",H50=""),"",(R50/2.8)*S50/T50/H50)</f>
        <v/>
      </c>
      <c r="V50" s="14"/>
      <c r="W50" s="14"/>
      <c r="X50" s="14"/>
      <c r="Y50" s="23" t="str">
        <f aca="false">IF(OR(V50="",W50="",X50="",H50=""),"",(V50/26.6)*W50/X50/H50)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14"/>
      <c r="I51" s="14"/>
      <c r="J51" s="14"/>
      <c r="K51" s="14"/>
      <c r="L51" s="23" t="str">
        <f aca="false">IF(OR(I51="",J51=""),"",(I51-J51)/I51*100)</f>
        <v/>
      </c>
      <c r="M51" s="23" t="str">
        <f aca="false">IF(OR(L51="",K51="",H51=""),"",(L51/50)/K51/H51)</f>
        <v/>
      </c>
      <c r="N51" s="14"/>
      <c r="O51" s="14"/>
      <c r="P51" s="14"/>
      <c r="Q51" s="23" t="str">
        <f aca="false">IF(OR(N51="",O51="",P51="",H51=""),"",(N51/0.0436)*O51/P51/H51)</f>
        <v/>
      </c>
      <c r="R51" s="14"/>
      <c r="S51" s="14"/>
      <c r="T51" s="14"/>
      <c r="U51" s="23" t="str">
        <f aca="false">IF(OR(R51="",S51="",T51="",H51=""),"",(R51/2.8)*S51/T51/H51)</f>
        <v/>
      </c>
      <c r="V51" s="14"/>
      <c r="W51" s="14"/>
      <c r="X51" s="14"/>
      <c r="Y51" s="23" t="str">
        <f aca="false">IF(OR(V51="",W51="",X51="",H51=""),"",(V51/26.6)*W51/X51/H51)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14"/>
      <c r="I52" s="14"/>
      <c r="J52" s="14"/>
      <c r="K52" s="14"/>
      <c r="L52" s="23" t="str">
        <f aca="false">IF(OR(I52="",J52=""),"",(I52-J52)/I52*100)</f>
        <v/>
      </c>
      <c r="M52" s="23" t="str">
        <f aca="false">IF(OR(L52="",K52="",H52=""),"",(L52/50)/K52/H52)</f>
        <v/>
      </c>
      <c r="N52" s="14"/>
      <c r="O52" s="14"/>
      <c r="P52" s="14"/>
      <c r="Q52" s="23" t="str">
        <f aca="false">IF(OR(N52="",O52="",P52="",H52=""),"",(N52/0.0436)*O52/P52/H52)</f>
        <v/>
      </c>
      <c r="R52" s="14"/>
      <c r="S52" s="14"/>
      <c r="T52" s="14"/>
      <c r="U52" s="23" t="str">
        <f aca="false">IF(OR(R52="",S52="",T52="",H52=""),"",(R52/2.8)*S52/T52/H52)</f>
        <v/>
      </c>
      <c r="V52" s="14"/>
      <c r="W52" s="14"/>
      <c r="X52" s="14"/>
      <c r="Y52" s="23" t="str">
        <f aca="false">IF(OR(V52="",W52="",X52="",H52=""),"",(V52/26.6)*W52/X52/H52)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14"/>
      <c r="I53" s="14"/>
      <c r="J53" s="14"/>
      <c r="K53" s="14"/>
      <c r="L53" s="23" t="str">
        <f aca="false">IF(OR(I53="",J53=""),"",(I53-J53)/I53*100)</f>
        <v/>
      </c>
      <c r="M53" s="23" t="str">
        <f aca="false">IF(OR(L53="",K53="",H53=""),"",(L53/50)/K53/H53)</f>
        <v/>
      </c>
      <c r="N53" s="14"/>
      <c r="O53" s="14"/>
      <c r="P53" s="14"/>
      <c r="Q53" s="23" t="str">
        <f aca="false">IF(OR(N53="",O53="",P53="",H53=""),"",(N53/0.0436)*O53/P53/H53)</f>
        <v/>
      </c>
      <c r="R53" s="14"/>
      <c r="S53" s="14"/>
      <c r="T53" s="14"/>
      <c r="U53" s="23" t="str">
        <f aca="false">IF(OR(R53="",S53="",T53="",H53=""),"",(R53/2.8)*S53/T53/H53)</f>
        <v/>
      </c>
      <c r="V53" s="14"/>
      <c r="W53" s="14"/>
      <c r="X53" s="14"/>
      <c r="Y53" s="23" t="str">
        <f aca="false">IF(OR(V53="",W53="",X53="",H53=""),"",(V53/26.6)*W53/X53/H53)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14"/>
      <c r="I54" s="14"/>
      <c r="J54" s="14"/>
      <c r="K54" s="14"/>
      <c r="L54" s="23" t="str">
        <f aca="false">IF(OR(I54="",J54=""),"",(I54-J54)/I54*100)</f>
        <v/>
      </c>
      <c r="M54" s="23" t="str">
        <f aca="false">IF(OR(L54="",K54="",H54=""),"",(L54/50)/K54/H54)</f>
        <v/>
      </c>
      <c r="N54" s="14"/>
      <c r="O54" s="14"/>
      <c r="P54" s="14"/>
      <c r="Q54" s="23" t="str">
        <f aca="false">IF(OR(N54="",O54="",P54="",H54=""),"",(N54/0.0436)*O54/P54/H54)</f>
        <v/>
      </c>
      <c r="R54" s="14"/>
      <c r="S54" s="14"/>
      <c r="T54" s="14"/>
      <c r="U54" s="23" t="str">
        <f aca="false">IF(OR(R54="",S54="",T54="",H54=""),"",(R54/2.8)*S54/T54/H54)</f>
        <v/>
      </c>
      <c r="V54" s="14"/>
      <c r="W54" s="14"/>
      <c r="X54" s="14"/>
      <c r="Y54" s="23" t="str">
        <f aca="false">IF(OR(V54="",W54="",X54="",H54=""),"",(V54/26.6)*W54/X54/H54)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14"/>
      <c r="I55" s="14"/>
      <c r="J55" s="14"/>
      <c r="K55" s="14"/>
      <c r="L55" s="23" t="str">
        <f aca="false">IF(OR(I55="",J55=""),"",(I55-J55)/I55*100)</f>
        <v/>
      </c>
      <c r="M55" s="23" t="str">
        <f aca="false">IF(OR(L55="",K55="",H55=""),"",(L55/50)/K55/H55)</f>
        <v/>
      </c>
      <c r="N55" s="14"/>
      <c r="O55" s="14"/>
      <c r="P55" s="14"/>
      <c r="Q55" s="23" t="str">
        <f aca="false">IF(OR(N55="",O55="",P55="",H55=""),"",(N55/0.0436)*O55/P55/H55)</f>
        <v/>
      </c>
      <c r="R55" s="14"/>
      <c r="S55" s="14"/>
      <c r="T55" s="14"/>
      <c r="U55" s="23" t="str">
        <f aca="false">IF(OR(R55="",S55="",T55="",H55=""),"",(R55/2.8)*S55/T55/H55)</f>
        <v/>
      </c>
      <c r="V55" s="14"/>
      <c r="W55" s="14"/>
      <c r="X55" s="14"/>
      <c r="Y55" s="23" t="str">
        <f aca="false">IF(OR(V55="",W55="",X55="",H55=""),"",(V55/26.6)*W55/X55/H55)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14"/>
      <c r="I56" s="14"/>
      <c r="J56" s="14"/>
      <c r="K56" s="14"/>
      <c r="L56" s="23" t="str">
        <f aca="false">IF(OR(I56="",J56=""),"",(I56-J56)/I56*100)</f>
        <v/>
      </c>
      <c r="M56" s="23" t="str">
        <f aca="false">IF(OR(L56="",K56="",H56=""),"",(L56/50)/K56/H56)</f>
        <v/>
      </c>
      <c r="N56" s="14"/>
      <c r="O56" s="14"/>
      <c r="P56" s="14"/>
      <c r="Q56" s="23" t="str">
        <f aca="false">IF(OR(N56="",O56="",P56="",H56=""),"",(N56/0.0436)*O56/P56/H56)</f>
        <v/>
      </c>
      <c r="R56" s="14"/>
      <c r="S56" s="14"/>
      <c r="T56" s="14"/>
      <c r="U56" s="23" t="str">
        <f aca="false">IF(OR(R56="",S56="",T56="",H56=""),"",(R56/2.8)*S56/T56/H56)</f>
        <v/>
      </c>
      <c r="V56" s="14"/>
      <c r="W56" s="14"/>
      <c r="X56" s="14"/>
      <c r="Y56" s="23" t="str">
        <f aca="false">IF(OR(V56="",W56="",X56="",H56=""),"",(V56/26.6)*W56/X56/H56)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14"/>
      <c r="I57" s="14"/>
      <c r="J57" s="14"/>
      <c r="K57" s="14"/>
      <c r="L57" s="23" t="str">
        <f aca="false">IF(OR(I57="",J57=""),"",(I57-J57)/I57*100)</f>
        <v/>
      </c>
      <c r="M57" s="23" t="str">
        <f aca="false">IF(OR(L57="",K57="",H57=""),"",(L57/50)/K57/H57)</f>
        <v/>
      </c>
      <c r="N57" s="14"/>
      <c r="O57" s="14"/>
      <c r="P57" s="14"/>
      <c r="Q57" s="23" t="str">
        <f aca="false">IF(OR(N57="",O57="",P57="",H57=""),"",(N57/0.0436)*O57/P57/H57)</f>
        <v/>
      </c>
      <c r="R57" s="14"/>
      <c r="S57" s="14"/>
      <c r="T57" s="14"/>
      <c r="U57" s="23" t="str">
        <f aca="false">IF(OR(R57="",S57="",T57="",H57=""),"",(R57/2.8)*S57/T57/H57)</f>
        <v/>
      </c>
      <c r="V57" s="14"/>
      <c r="W57" s="14"/>
      <c r="X57" s="14"/>
      <c r="Y57" s="23" t="str">
        <f aca="false">IF(OR(V57="",W57="",X57="",H57=""),"",(V57/26.6)*W57/X57/H57)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14"/>
      <c r="I58" s="14"/>
      <c r="J58" s="14"/>
      <c r="K58" s="14"/>
      <c r="L58" s="23" t="str">
        <f aca="false">IF(OR(I58="",J58=""),"",(I58-J58)/I58*100)</f>
        <v/>
      </c>
      <c r="M58" s="23" t="str">
        <f aca="false">IF(OR(L58="",K58="",H58=""),"",(L58/50)/K58/H58)</f>
        <v/>
      </c>
      <c r="N58" s="14"/>
      <c r="O58" s="14"/>
      <c r="P58" s="14"/>
      <c r="Q58" s="23" t="str">
        <f aca="false">IF(OR(N58="",O58="",P58="",H58=""),"",(N58/0.0436)*O58/P58/H58)</f>
        <v/>
      </c>
      <c r="R58" s="14"/>
      <c r="S58" s="14"/>
      <c r="T58" s="14"/>
      <c r="U58" s="23" t="str">
        <f aca="false">IF(OR(R58="",S58="",T58="",H58=""),"",(R58/2.8)*S58/T58/H58)</f>
        <v/>
      </c>
      <c r="V58" s="14"/>
      <c r="W58" s="14"/>
      <c r="X58" s="14"/>
      <c r="Y58" s="23" t="str">
        <f aca="false">IF(OR(V58="",W58="",X58="",H58=""),"",(V58/26.6)*W58/X58/H58)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14"/>
      <c r="I59" s="14"/>
      <c r="J59" s="14"/>
      <c r="K59" s="14"/>
      <c r="L59" s="23" t="str">
        <f aca="false">IF(OR(I59="",J59=""),"",(I59-J59)/I59*100)</f>
        <v/>
      </c>
      <c r="M59" s="23" t="str">
        <f aca="false">IF(OR(L59="",K59="",H59=""),"",(L59/50)/K59/H59)</f>
        <v/>
      </c>
      <c r="N59" s="14"/>
      <c r="O59" s="14"/>
      <c r="P59" s="14"/>
      <c r="Q59" s="23" t="str">
        <f aca="false">IF(OR(N59="",O59="",P59="",H59=""),"",(N59/0.0436)*O59/P59/H59)</f>
        <v/>
      </c>
      <c r="R59" s="14"/>
      <c r="S59" s="14"/>
      <c r="T59" s="14"/>
      <c r="U59" s="23" t="str">
        <f aca="false">IF(OR(R59="",S59="",T59="",H59=""),"",(R59/2.8)*S59/T59/H59)</f>
        <v/>
      </c>
      <c r="V59" s="14"/>
      <c r="W59" s="14"/>
      <c r="X59" s="14"/>
      <c r="Y59" s="23" t="str">
        <f aca="false">IF(OR(V59="",W59="",X59="",H59=""),"",(V59/26.6)*W59/X59/H59)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14"/>
      <c r="I60" s="14"/>
      <c r="J60" s="14"/>
      <c r="K60" s="14"/>
      <c r="L60" s="23" t="str">
        <f aca="false">IF(OR(I60="",J60=""),"",(I60-J60)/I60*100)</f>
        <v/>
      </c>
      <c r="M60" s="23" t="str">
        <f aca="false">IF(OR(L60="",K60="",H60=""),"",(L60/50)/K60/H60)</f>
        <v/>
      </c>
      <c r="N60" s="14"/>
      <c r="O60" s="14"/>
      <c r="P60" s="14"/>
      <c r="Q60" s="23" t="str">
        <f aca="false">IF(OR(N60="",O60="",P60="",H60=""),"",(N60/0.0436)*O60/P60/H60)</f>
        <v/>
      </c>
      <c r="R60" s="14"/>
      <c r="S60" s="14"/>
      <c r="T60" s="14"/>
      <c r="U60" s="23" t="str">
        <f aca="false">IF(OR(R60="",S60="",T60="",H60=""),"",(R60/2.8)*S60/T60/H60)</f>
        <v/>
      </c>
      <c r="V60" s="14"/>
      <c r="W60" s="14"/>
      <c r="X60" s="14"/>
      <c r="Y60" s="23" t="str">
        <f aca="false">IF(OR(V60="",W60="",X60="",H60=""),"",(V60/26.6)*W60/X60/H60)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14"/>
      <c r="I61" s="14"/>
      <c r="J61" s="14"/>
      <c r="K61" s="14"/>
      <c r="L61" s="23" t="str">
        <f aca="false">IF(OR(I61="",J61=""),"",(I61-J61)/I61*100)</f>
        <v/>
      </c>
      <c r="M61" s="23" t="str">
        <f aca="false">IF(OR(L61="",K61="",H61=""),"",(L61/50)/K61/H61)</f>
        <v/>
      </c>
      <c r="N61" s="14"/>
      <c r="O61" s="14"/>
      <c r="P61" s="14"/>
      <c r="Q61" s="23" t="str">
        <f aca="false">IF(OR(N61="",O61="",P61="",H61=""),"",(N61/0.0436)*O61/P61/H61)</f>
        <v/>
      </c>
      <c r="R61" s="14"/>
      <c r="S61" s="14"/>
      <c r="T61" s="14"/>
      <c r="U61" s="23" t="str">
        <f aca="false">IF(OR(R61="",S61="",T61="",H61=""),"",(R61/2.8)*S61/T61/H61)</f>
        <v/>
      </c>
      <c r="V61" s="14"/>
      <c r="W61" s="14"/>
      <c r="X61" s="14"/>
      <c r="Y61" s="23" t="str">
        <f aca="false">IF(OR(V61="",W61="",X61="",H61=""),"",(V61/26.6)*W61/X61/H61)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14"/>
      <c r="I62" s="14"/>
      <c r="J62" s="14"/>
      <c r="K62" s="14"/>
      <c r="L62" s="23" t="str">
        <f aca="false">IF(OR(I62="",J62=""),"",(I62-J62)/I62*100)</f>
        <v/>
      </c>
      <c r="M62" s="23" t="str">
        <f aca="false">IF(OR(L62="",K62="",H62=""),"",(L62/50)/K62/H62)</f>
        <v/>
      </c>
      <c r="N62" s="14"/>
      <c r="O62" s="14"/>
      <c r="P62" s="14"/>
      <c r="Q62" s="23" t="str">
        <f aca="false">IF(OR(N62="",O62="",P62="",H62=""),"",(N62/0.0436)*O62/P62/H62)</f>
        <v/>
      </c>
      <c r="R62" s="14"/>
      <c r="S62" s="14"/>
      <c r="T62" s="14"/>
      <c r="U62" s="23" t="str">
        <f aca="false">IF(OR(R62="",S62="",T62="",H62=""),"",(R62/2.8)*S62/T62/H62)</f>
        <v/>
      </c>
      <c r="V62" s="14"/>
      <c r="W62" s="14"/>
      <c r="X62" s="14"/>
      <c r="Y62" s="23" t="str">
        <f aca="false">IF(OR(V62="",W62="",X62="",H62=""),"",(V62/26.6)*W62/X62/H62)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14"/>
      <c r="I63" s="14"/>
      <c r="J63" s="14"/>
      <c r="K63" s="14"/>
      <c r="L63" s="23" t="str">
        <f aca="false">IF(OR(I63="",J63=""),"",(I63-J63)/I63*100)</f>
        <v/>
      </c>
      <c r="M63" s="23" t="str">
        <f aca="false">IF(OR(L63="",K63="",H63=""),"",(L63/50)/K63/H63)</f>
        <v/>
      </c>
      <c r="N63" s="14"/>
      <c r="O63" s="14"/>
      <c r="P63" s="14"/>
      <c r="Q63" s="23" t="str">
        <f aca="false">IF(OR(N63="",O63="",P63="",H63=""),"",(N63/0.0436)*O63/P63/H63)</f>
        <v/>
      </c>
      <c r="R63" s="14"/>
      <c r="S63" s="14"/>
      <c r="T63" s="14"/>
      <c r="U63" s="23" t="str">
        <f aca="false">IF(OR(R63="",S63="",T63="",H63=""),"",(R63/2.8)*S63/T63/H63)</f>
        <v/>
      </c>
      <c r="V63" s="14"/>
      <c r="W63" s="14"/>
      <c r="X63" s="14"/>
      <c r="Y63" s="23" t="str">
        <f aca="false">IF(OR(V63="",W63="",X63="",H63=""),"",(V63/26.6)*W63/X63/H63)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14"/>
      <c r="I64" s="14"/>
      <c r="J64" s="14"/>
      <c r="K64" s="14"/>
      <c r="L64" s="23" t="str">
        <f aca="false">IF(OR(I64="",J64=""),"",(I64-J64)/I64*100)</f>
        <v/>
      </c>
      <c r="M64" s="23" t="str">
        <f aca="false">IF(OR(L64="",K64="",H64=""),"",(L64/50)/K64/H64)</f>
        <v/>
      </c>
      <c r="N64" s="14"/>
      <c r="O64" s="14"/>
      <c r="P64" s="14"/>
      <c r="Q64" s="23" t="str">
        <f aca="false">IF(OR(N64="",O64="",P64="",H64=""),"",(N64/0.0436)*O64/P64/H64)</f>
        <v/>
      </c>
      <c r="R64" s="14"/>
      <c r="S64" s="14"/>
      <c r="T64" s="14"/>
      <c r="U64" s="23" t="str">
        <f aca="false">IF(OR(R64="",S64="",T64="",H64=""),"",(R64/2.8)*S64/T64/H64)</f>
        <v/>
      </c>
      <c r="V64" s="14"/>
      <c r="W64" s="14"/>
      <c r="X64" s="14"/>
      <c r="Y64" s="23" t="str">
        <f aca="false">IF(OR(V64="",W64="",X64="",H64=""),"",(V64/26.6)*W64/X64/H64)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14"/>
      <c r="I65" s="14"/>
      <c r="J65" s="14"/>
      <c r="K65" s="14"/>
      <c r="L65" s="23" t="str">
        <f aca="false">IF(OR(I65="",J65=""),"",(I65-J65)/I65*100)</f>
        <v/>
      </c>
      <c r="M65" s="23" t="str">
        <f aca="false">IF(OR(L65="",K65="",H65=""),"",(L65/50)/K65/H65)</f>
        <v/>
      </c>
      <c r="N65" s="14"/>
      <c r="O65" s="14"/>
      <c r="P65" s="14"/>
      <c r="Q65" s="23" t="str">
        <f aca="false">IF(OR(N65="",O65="",P65="",H65=""),"",(N65/0.0436)*O65/P65/H65)</f>
        <v/>
      </c>
      <c r="R65" s="14"/>
      <c r="S65" s="14"/>
      <c r="T65" s="14"/>
      <c r="U65" s="23" t="str">
        <f aca="false">IF(OR(R65="",S65="",T65="",H65=""),"",(R65/2.8)*S65/T65/H65)</f>
        <v/>
      </c>
      <c r="V65" s="14"/>
      <c r="W65" s="14"/>
      <c r="X65" s="14"/>
      <c r="Y65" s="23" t="str">
        <f aca="false">IF(OR(V65="",W65="",X65="",H65=""),"",(V65/26.6)*W65/X65/H65)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14"/>
      <c r="I66" s="14"/>
      <c r="J66" s="14"/>
      <c r="K66" s="14"/>
      <c r="L66" s="23" t="str">
        <f aca="false">IF(OR(I66="",J66=""),"",(I66-J66)/I66*100)</f>
        <v/>
      </c>
      <c r="M66" s="23" t="str">
        <f aca="false">IF(OR(L66="",K66="",H66=""),"",(L66/50)/K66/H66)</f>
        <v/>
      </c>
      <c r="N66" s="14"/>
      <c r="O66" s="14"/>
      <c r="P66" s="14"/>
      <c r="Q66" s="23" t="str">
        <f aca="false">IF(OR(N66="",O66="",P66="",H66=""),"",(N66/0.0436)*O66/P66/H66)</f>
        <v/>
      </c>
      <c r="R66" s="14"/>
      <c r="S66" s="14"/>
      <c r="T66" s="14"/>
      <c r="U66" s="23" t="str">
        <f aca="false">IF(OR(R66="",S66="",T66="",H66=""),"",(R66/2.8)*S66/T66/H66)</f>
        <v/>
      </c>
      <c r="V66" s="14"/>
      <c r="W66" s="14"/>
      <c r="X66" s="14"/>
      <c r="Y66" s="23" t="str">
        <f aca="false">IF(OR(V66="",W66="",X66="",H66=""),"",(V66/26.6)*W66/X66/H66)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14"/>
      <c r="I67" s="14"/>
      <c r="J67" s="14"/>
      <c r="K67" s="14"/>
      <c r="L67" s="23" t="str">
        <f aca="false">IF(OR(I67="",J67=""),"",(I67-J67)/I67*100)</f>
        <v/>
      </c>
      <c r="M67" s="23" t="str">
        <f aca="false">IF(OR(L67="",K67="",H67=""),"",(L67/50)/K67/H67)</f>
        <v/>
      </c>
      <c r="N67" s="14"/>
      <c r="O67" s="14"/>
      <c r="P67" s="14"/>
      <c r="Q67" s="23" t="str">
        <f aca="false">IF(OR(N67="",O67="",P67="",H67=""),"",(N67/0.0436)*O67/P67/H67)</f>
        <v/>
      </c>
      <c r="R67" s="14"/>
      <c r="S67" s="14"/>
      <c r="T67" s="14"/>
      <c r="U67" s="23" t="str">
        <f aca="false">IF(OR(R67="",S67="",T67="",H67=""),"",(R67/2.8)*S67/T67/H67)</f>
        <v/>
      </c>
      <c r="V67" s="14"/>
      <c r="W67" s="14"/>
      <c r="X67" s="14"/>
      <c r="Y67" s="23" t="str">
        <f aca="false">IF(OR(V67="",W67="",X67="",H67=""),"",(V67/26.6)*W67/X67/H67)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14"/>
      <c r="I68" s="14"/>
      <c r="J68" s="14"/>
      <c r="K68" s="14"/>
      <c r="L68" s="23" t="str">
        <f aca="false">IF(OR(I68="",J68=""),"",(I68-J68)/I68*100)</f>
        <v/>
      </c>
      <c r="M68" s="23" t="str">
        <f aca="false">IF(OR(L68="",K68="",H68=""),"",(L68/50)/K68/H68)</f>
        <v/>
      </c>
      <c r="N68" s="14"/>
      <c r="O68" s="14"/>
      <c r="P68" s="14"/>
      <c r="Q68" s="23" t="str">
        <f aca="false">IF(OR(N68="",O68="",P68="",H68=""),"",(N68/0.0436)*O68/P68/H68)</f>
        <v/>
      </c>
      <c r="R68" s="14"/>
      <c r="S68" s="14"/>
      <c r="T68" s="14"/>
      <c r="U68" s="23" t="str">
        <f aca="false">IF(OR(R68="",S68="",T68="",H68=""),"",(R68/2.8)*S68/T68/H68)</f>
        <v/>
      </c>
      <c r="V68" s="14"/>
      <c r="W68" s="14"/>
      <c r="X68" s="14"/>
      <c r="Y68" s="23" t="str">
        <f aca="false">IF(OR(V68="",W68="",X68="",H68=""),"",(V68/26.6)*W68/X68/H68)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14"/>
      <c r="I69" s="14"/>
      <c r="J69" s="14"/>
      <c r="K69" s="14"/>
      <c r="L69" s="23" t="str">
        <f aca="false">IF(OR(I69="",J69=""),"",(I69-J69)/I69*100)</f>
        <v/>
      </c>
      <c r="M69" s="23" t="str">
        <f aca="false">IF(OR(L69="",K69="",H69=""),"",(L69/50)/K69/H69)</f>
        <v/>
      </c>
      <c r="N69" s="14"/>
      <c r="O69" s="14"/>
      <c r="P69" s="14"/>
      <c r="Q69" s="23" t="str">
        <f aca="false">IF(OR(N69="",O69="",P69="",H69=""),"",(N69/0.0436)*O69/P69/H69)</f>
        <v/>
      </c>
      <c r="R69" s="14"/>
      <c r="S69" s="14"/>
      <c r="T69" s="14"/>
      <c r="U69" s="23" t="str">
        <f aca="false">IF(OR(R69="",S69="",T69="",H69=""),"",(R69/2.8)*S69/T69/H69)</f>
        <v/>
      </c>
      <c r="V69" s="14"/>
      <c r="W69" s="14"/>
      <c r="X69" s="14"/>
      <c r="Y69" s="23" t="str">
        <f aca="false">IF(OR(V69="",W69="",X69="",H69=""),"",(V69/26.6)*W69/X69/H69)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14"/>
      <c r="I70" s="14"/>
      <c r="J70" s="14"/>
      <c r="K70" s="14"/>
      <c r="L70" s="23" t="str">
        <f aca="false">IF(OR(I70="",J70=""),"",(I70-J70)/I70*100)</f>
        <v/>
      </c>
      <c r="M70" s="23" t="str">
        <f aca="false">IF(OR(L70="",K70="",H70=""),"",(L70/50)/K70/H70)</f>
        <v/>
      </c>
      <c r="N70" s="14"/>
      <c r="O70" s="14"/>
      <c r="P70" s="14"/>
      <c r="Q70" s="23" t="str">
        <f aca="false">IF(OR(N70="",O70="",P70="",H70=""),"",(N70/0.0436)*O70/P70/H70)</f>
        <v/>
      </c>
      <c r="R70" s="14"/>
      <c r="S70" s="14"/>
      <c r="T70" s="14"/>
      <c r="U70" s="23" t="str">
        <f aca="false">IF(OR(R70="",S70="",T70="",H70=""),"",(R70/2.8)*S70/T70/H70)</f>
        <v/>
      </c>
      <c r="V70" s="14"/>
      <c r="W70" s="14"/>
      <c r="X70" s="14"/>
      <c r="Y70" s="23" t="str">
        <f aca="false">IF(OR(V70="",W70="",X70="",H70=""),"",(V70/26.6)*W70/X70/H70)</f>
        <v/>
      </c>
    </row>
  </sheetData>
  <mergeCells count="6">
    <mergeCell ref="A4:E4"/>
    <mergeCell ref="F4:H4"/>
    <mergeCell ref="I4:M4"/>
    <mergeCell ref="N4:Q4"/>
    <mergeCell ref="R4:U4"/>
    <mergeCell ref="V4:Y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29" min="3" style="0" width="12"/>
  </cols>
  <sheetData>
    <row r="1" customFormat="false" ht="16.1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362</v>
      </c>
      <c r="G4" s="16"/>
      <c r="H4" s="16"/>
      <c r="I4" s="16" t="s">
        <v>363</v>
      </c>
      <c r="J4" s="16"/>
      <c r="K4" s="16"/>
      <c r="L4" s="16"/>
      <c r="M4" s="16"/>
      <c r="N4" s="16"/>
      <c r="O4" s="16"/>
      <c r="P4" s="16"/>
      <c r="Q4" s="16"/>
      <c r="R4" s="16" t="s">
        <v>364</v>
      </c>
      <c r="S4" s="16"/>
      <c r="T4" s="16"/>
      <c r="U4" s="16" t="s">
        <v>365</v>
      </c>
      <c r="V4" s="16"/>
      <c r="W4" s="16"/>
      <c r="X4" s="16"/>
      <c r="Y4" s="16"/>
      <c r="Z4" s="16"/>
      <c r="AA4" s="16"/>
      <c r="AB4" s="16"/>
      <c r="AC4" s="16"/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366</v>
      </c>
      <c r="G5" s="18" t="s">
        <v>367</v>
      </c>
      <c r="H5" s="18" t="s">
        <v>368</v>
      </c>
      <c r="I5" s="18" t="s">
        <v>369</v>
      </c>
      <c r="J5" s="18" t="s">
        <v>370</v>
      </c>
      <c r="K5" s="18" t="s">
        <v>371</v>
      </c>
      <c r="L5" s="18" t="s">
        <v>372</v>
      </c>
      <c r="M5" s="18" t="s">
        <v>373</v>
      </c>
      <c r="N5" s="18" t="s">
        <v>374</v>
      </c>
      <c r="O5" s="18" t="s">
        <v>375</v>
      </c>
      <c r="P5" s="18" t="s">
        <v>376</v>
      </c>
      <c r="Q5" s="18" t="s">
        <v>377</v>
      </c>
      <c r="R5" s="18" t="s">
        <v>378</v>
      </c>
      <c r="S5" s="18" t="s">
        <v>379</v>
      </c>
      <c r="T5" s="18" t="s">
        <v>380</v>
      </c>
      <c r="U5" s="18" t="s">
        <v>381</v>
      </c>
      <c r="V5" s="18" t="s">
        <v>382</v>
      </c>
      <c r="W5" s="18" t="s">
        <v>383</v>
      </c>
      <c r="X5" s="18" t="s">
        <v>384</v>
      </c>
      <c r="Y5" s="18" t="s">
        <v>385</v>
      </c>
      <c r="Z5" s="18" t="s">
        <v>386</v>
      </c>
      <c r="AA5" s="18" t="s">
        <v>387</v>
      </c>
      <c r="AB5" s="18" t="s">
        <v>388</v>
      </c>
      <c r="AC5" s="18" t="s">
        <v>389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0.2</v>
      </c>
      <c r="G6" s="21" t="n">
        <v>50</v>
      </c>
      <c r="H6" s="21" t="n">
        <v>1</v>
      </c>
      <c r="I6" s="21" t="n">
        <v>48</v>
      </c>
      <c r="J6" s="21" t="n">
        <v>96</v>
      </c>
      <c r="K6" s="21" t="n">
        <v>22</v>
      </c>
      <c r="L6" s="21" t="n">
        <v>11</v>
      </c>
      <c r="M6" s="22" t="n">
        <f aca="false">IF(OR(I6="",F6="",G6="",H6=""),"",I6*G6/1000*H6/F6)</f>
        <v>12</v>
      </c>
      <c r="N6" s="22" t="n">
        <f aca="false">IF(OR(J6="",F6="",G6="",H6=""),"",J6*G6/1000*H6/F6)</f>
        <v>24</v>
      </c>
      <c r="O6" s="22" t="n">
        <f aca="false">IF(OR(K6="",F6="",G6="",H6=""),"",K6*G6/1000*H6/F6)</f>
        <v>5.5</v>
      </c>
      <c r="P6" s="22" t="n">
        <f aca="false">IF(OR(L6="",F6="",G6="",H6=""),"",L6*G6/1000*H6/F6)</f>
        <v>2.75</v>
      </c>
      <c r="Q6" s="22" t="n">
        <f aca="false">IF(OR(M6="",N6=""),"",(N6/39.1)/(M6/22.99))</f>
        <v>1.17595907928389</v>
      </c>
      <c r="R6" s="21" t="n">
        <v>0.2</v>
      </c>
      <c r="S6" s="21" t="n">
        <v>50</v>
      </c>
      <c r="T6" s="21" t="n">
        <v>1</v>
      </c>
      <c r="U6" s="21" t="n">
        <v>70</v>
      </c>
      <c r="V6" s="21" t="n">
        <v>52</v>
      </c>
      <c r="W6" s="21" t="n">
        <v>15</v>
      </c>
      <c r="X6" s="21" t="n">
        <v>8</v>
      </c>
      <c r="Y6" s="22" t="n">
        <f aca="false">IF(OR(U6="",R6="",S6="",T6=""),"",U6*S6/1000*T6/R6)</f>
        <v>17.5</v>
      </c>
      <c r="Z6" s="22" t="n">
        <f aca="false">IF(OR(V6="",R6="",S6="",T6=""),"",V6*S6/1000*T6/R6)</f>
        <v>13</v>
      </c>
      <c r="AA6" s="22" t="n">
        <f aca="false">IF(OR(W6="",R6="",S6="",T6=""),"",W6*S6/1000*T6/R6)</f>
        <v>3.75</v>
      </c>
      <c r="AB6" s="22" t="n">
        <f aca="false">IF(OR(X6="",R6="",S6="",T6=""),"",X6*S6/1000*T6/R6)</f>
        <v>2</v>
      </c>
      <c r="AC6" s="22" t="n">
        <f aca="false">IF(OR(Y6="",Z6=""),"",(Z6/39.1)/(Y6/22.99))</f>
        <v>0.436784800876873</v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14"/>
      <c r="I7" s="14"/>
      <c r="J7" s="14"/>
      <c r="K7" s="14"/>
      <c r="L7" s="14"/>
      <c r="M7" s="23" t="str">
        <f aca="false">IF(OR(I7="",F7="",G7="",H7=""),"",I7*G7/1000*H7/F7)</f>
        <v/>
      </c>
      <c r="N7" s="23" t="str">
        <f aca="false">IF(OR(J7="",F7="",G7="",H7=""),"",J7*G7/1000*H7/F7)</f>
        <v/>
      </c>
      <c r="O7" s="23" t="str">
        <f aca="false">IF(OR(K7="",F7="",G7="",H7=""),"",K7*G7/1000*H7/F7)</f>
        <v/>
      </c>
      <c r="P7" s="23" t="str">
        <f aca="false">IF(OR(L7="",F7="",G7="",H7=""),"",L7*G7/1000*H7/F7)</f>
        <v/>
      </c>
      <c r="Q7" s="23" t="str">
        <f aca="false">IF(OR(M7="",N7=""),"",(N7/39.1)/(M7/22.99))</f>
        <v/>
      </c>
      <c r="R7" s="14"/>
      <c r="S7" s="14"/>
      <c r="T7" s="14"/>
      <c r="U7" s="14"/>
      <c r="V7" s="14"/>
      <c r="W7" s="14"/>
      <c r="X7" s="14"/>
      <c r="Y7" s="23" t="str">
        <f aca="false">IF(OR(U7="",R7="",S7="",T7=""),"",U7*S7/1000*T7/R7)</f>
        <v/>
      </c>
      <c r="Z7" s="23" t="str">
        <f aca="false">IF(OR(V7="",R7="",S7="",T7=""),"",V7*S7/1000*T7/R7)</f>
        <v/>
      </c>
      <c r="AA7" s="23" t="str">
        <f aca="false">IF(OR(W7="",R7="",S7="",T7=""),"",W7*S7/1000*T7/R7)</f>
        <v/>
      </c>
      <c r="AB7" s="23" t="str">
        <f aca="false">IF(OR(X7="",R7="",S7="",T7=""),"",X7*S7/1000*T7/R7)</f>
        <v/>
      </c>
      <c r="AC7" s="23" t="str">
        <f aca="false">IF(OR(Y7="",Z7=""),"",(Z7/39.1)/(Y7/22.99))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14"/>
      <c r="I8" s="14"/>
      <c r="J8" s="14"/>
      <c r="K8" s="14"/>
      <c r="L8" s="14"/>
      <c r="M8" s="23" t="str">
        <f aca="false">IF(OR(I8="",F8="",G8="",H8=""),"",I8*G8/1000*H8/F8)</f>
        <v/>
      </c>
      <c r="N8" s="23" t="str">
        <f aca="false">IF(OR(J8="",F8="",G8="",H8=""),"",J8*G8/1000*H8/F8)</f>
        <v/>
      </c>
      <c r="O8" s="23" t="str">
        <f aca="false">IF(OR(K8="",F8="",G8="",H8=""),"",K8*G8/1000*H8/F8)</f>
        <v/>
      </c>
      <c r="P8" s="23" t="str">
        <f aca="false">IF(OR(L8="",F8="",G8="",H8=""),"",L8*G8/1000*H8/F8)</f>
        <v/>
      </c>
      <c r="Q8" s="23" t="str">
        <f aca="false">IF(OR(M8="",N8=""),"",(N8/39.1)/(M8/22.99))</f>
        <v/>
      </c>
      <c r="R8" s="14"/>
      <c r="S8" s="14"/>
      <c r="T8" s="14"/>
      <c r="U8" s="14"/>
      <c r="V8" s="14"/>
      <c r="W8" s="14"/>
      <c r="X8" s="14"/>
      <c r="Y8" s="23" t="str">
        <f aca="false">IF(OR(U8="",R8="",S8="",T8=""),"",U8*S8/1000*T8/R8)</f>
        <v/>
      </c>
      <c r="Z8" s="23" t="str">
        <f aca="false">IF(OR(V8="",R8="",S8="",T8=""),"",V8*S8/1000*T8/R8)</f>
        <v/>
      </c>
      <c r="AA8" s="23" t="str">
        <f aca="false">IF(OR(W8="",R8="",S8="",T8=""),"",W8*S8/1000*T8/R8)</f>
        <v/>
      </c>
      <c r="AB8" s="23" t="str">
        <f aca="false">IF(OR(X8="",R8="",S8="",T8=""),"",X8*S8/1000*T8/R8)</f>
        <v/>
      </c>
      <c r="AC8" s="23" t="str">
        <f aca="false">IF(OR(Y8="",Z8=""),"",(Z8/39.1)/(Y8/22.99))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14"/>
      <c r="I9" s="14"/>
      <c r="J9" s="14"/>
      <c r="K9" s="14"/>
      <c r="L9" s="14"/>
      <c r="M9" s="23" t="str">
        <f aca="false">IF(OR(I9="",F9="",G9="",H9=""),"",I9*G9/1000*H9/F9)</f>
        <v/>
      </c>
      <c r="N9" s="23" t="str">
        <f aca="false">IF(OR(J9="",F9="",G9="",H9=""),"",J9*G9/1000*H9/F9)</f>
        <v/>
      </c>
      <c r="O9" s="23" t="str">
        <f aca="false">IF(OR(K9="",F9="",G9="",H9=""),"",K9*G9/1000*H9/F9)</f>
        <v/>
      </c>
      <c r="P9" s="23" t="str">
        <f aca="false">IF(OR(L9="",F9="",G9="",H9=""),"",L9*G9/1000*H9/F9)</f>
        <v/>
      </c>
      <c r="Q9" s="23" t="str">
        <f aca="false">IF(OR(M9="",N9=""),"",(N9/39.1)/(M9/22.99))</f>
        <v/>
      </c>
      <c r="R9" s="14"/>
      <c r="S9" s="14"/>
      <c r="T9" s="14"/>
      <c r="U9" s="14"/>
      <c r="V9" s="14"/>
      <c r="W9" s="14"/>
      <c r="X9" s="14"/>
      <c r="Y9" s="23" t="str">
        <f aca="false">IF(OR(U9="",R9="",S9="",T9=""),"",U9*S9/1000*T9/R9)</f>
        <v/>
      </c>
      <c r="Z9" s="23" t="str">
        <f aca="false">IF(OR(V9="",R9="",S9="",T9=""),"",V9*S9/1000*T9/R9)</f>
        <v/>
      </c>
      <c r="AA9" s="23" t="str">
        <f aca="false">IF(OR(W9="",R9="",S9="",T9=""),"",W9*S9/1000*T9/R9)</f>
        <v/>
      </c>
      <c r="AB9" s="23" t="str">
        <f aca="false">IF(OR(X9="",R9="",S9="",T9=""),"",X9*S9/1000*T9/R9)</f>
        <v/>
      </c>
      <c r="AC9" s="23" t="str">
        <f aca="false">IF(OR(Y9="",Z9=""),"",(Z9/39.1)/(Y9/22.99))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14"/>
      <c r="I10" s="14"/>
      <c r="J10" s="14"/>
      <c r="K10" s="14"/>
      <c r="L10" s="14"/>
      <c r="M10" s="23" t="str">
        <f aca="false">IF(OR(I10="",F10="",G10="",H10=""),"",I10*G10/1000*H10/F10)</f>
        <v/>
      </c>
      <c r="N10" s="23" t="str">
        <f aca="false">IF(OR(J10="",F10="",G10="",H10=""),"",J10*G10/1000*H10/F10)</f>
        <v/>
      </c>
      <c r="O10" s="23" t="str">
        <f aca="false">IF(OR(K10="",F10="",G10="",H10=""),"",K10*G10/1000*H10/F10)</f>
        <v/>
      </c>
      <c r="P10" s="23" t="str">
        <f aca="false">IF(OR(L10="",F10="",G10="",H10=""),"",L10*G10/1000*H10/F10)</f>
        <v/>
      </c>
      <c r="Q10" s="23" t="str">
        <f aca="false">IF(OR(M10="",N10=""),"",(N10/39.1)/(M10/22.99))</f>
        <v/>
      </c>
      <c r="R10" s="14"/>
      <c r="S10" s="14"/>
      <c r="T10" s="14"/>
      <c r="U10" s="14"/>
      <c r="V10" s="14"/>
      <c r="W10" s="14"/>
      <c r="X10" s="14"/>
      <c r="Y10" s="23" t="str">
        <f aca="false">IF(OR(U10="",R10="",S10="",T10=""),"",U10*S10/1000*T10/R10)</f>
        <v/>
      </c>
      <c r="Z10" s="23" t="str">
        <f aca="false">IF(OR(V10="",R10="",S10="",T10=""),"",V10*S10/1000*T10/R10)</f>
        <v/>
      </c>
      <c r="AA10" s="23" t="str">
        <f aca="false">IF(OR(W10="",R10="",S10="",T10=""),"",W10*S10/1000*T10/R10)</f>
        <v/>
      </c>
      <c r="AB10" s="23" t="str">
        <f aca="false">IF(OR(X10="",R10="",S10="",T10=""),"",X10*S10/1000*T10/R10)</f>
        <v/>
      </c>
      <c r="AC10" s="23" t="str">
        <f aca="false">IF(OR(Y10="",Z10=""),"",(Z10/39.1)/(Y10/22.99))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14"/>
      <c r="I11" s="14"/>
      <c r="J11" s="14"/>
      <c r="K11" s="14"/>
      <c r="L11" s="14"/>
      <c r="M11" s="23" t="str">
        <f aca="false">IF(OR(I11="",F11="",G11="",H11=""),"",I11*G11/1000*H11/F11)</f>
        <v/>
      </c>
      <c r="N11" s="23" t="str">
        <f aca="false">IF(OR(J11="",F11="",G11="",H11=""),"",J11*G11/1000*H11/F11)</f>
        <v/>
      </c>
      <c r="O11" s="23" t="str">
        <f aca="false">IF(OR(K11="",F11="",G11="",H11=""),"",K11*G11/1000*H11/F11)</f>
        <v/>
      </c>
      <c r="P11" s="23" t="str">
        <f aca="false">IF(OR(L11="",F11="",G11="",H11=""),"",L11*G11/1000*H11/F11)</f>
        <v/>
      </c>
      <c r="Q11" s="23" t="str">
        <f aca="false">IF(OR(M11="",N11=""),"",(N11/39.1)/(M11/22.99))</f>
        <v/>
      </c>
      <c r="R11" s="14"/>
      <c r="S11" s="14"/>
      <c r="T11" s="14"/>
      <c r="U11" s="14"/>
      <c r="V11" s="14"/>
      <c r="W11" s="14"/>
      <c r="X11" s="14"/>
      <c r="Y11" s="23" t="str">
        <f aca="false">IF(OR(U11="",R11="",S11="",T11=""),"",U11*S11/1000*T11/R11)</f>
        <v/>
      </c>
      <c r="Z11" s="23" t="str">
        <f aca="false">IF(OR(V11="",R11="",S11="",T11=""),"",V11*S11/1000*T11/R11)</f>
        <v/>
      </c>
      <c r="AA11" s="23" t="str">
        <f aca="false">IF(OR(W11="",R11="",S11="",T11=""),"",W11*S11/1000*T11/R11)</f>
        <v/>
      </c>
      <c r="AB11" s="23" t="str">
        <f aca="false">IF(OR(X11="",R11="",S11="",T11=""),"",X11*S11/1000*T11/R11)</f>
        <v/>
      </c>
      <c r="AC11" s="23" t="str">
        <f aca="false">IF(OR(Y11="",Z11=""),"",(Z11/39.1)/(Y11/22.99))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14"/>
      <c r="I12" s="14"/>
      <c r="J12" s="14"/>
      <c r="K12" s="14"/>
      <c r="L12" s="14"/>
      <c r="M12" s="23" t="str">
        <f aca="false">IF(OR(I12="",F12="",G12="",H12=""),"",I12*G12/1000*H12/F12)</f>
        <v/>
      </c>
      <c r="N12" s="23" t="str">
        <f aca="false">IF(OR(J12="",F12="",G12="",H12=""),"",J12*G12/1000*H12/F12)</f>
        <v/>
      </c>
      <c r="O12" s="23" t="str">
        <f aca="false">IF(OR(K12="",F12="",G12="",H12=""),"",K12*G12/1000*H12/F12)</f>
        <v/>
      </c>
      <c r="P12" s="23" t="str">
        <f aca="false">IF(OR(L12="",F12="",G12="",H12=""),"",L12*G12/1000*H12/F12)</f>
        <v/>
      </c>
      <c r="Q12" s="23" t="str">
        <f aca="false">IF(OR(M12="",N12=""),"",(N12/39.1)/(M12/22.99))</f>
        <v/>
      </c>
      <c r="R12" s="14"/>
      <c r="S12" s="14"/>
      <c r="T12" s="14"/>
      <c r="U12" s="14"/>
      <c r="V12" s="14"/>
      <c r="W12" s="14"/>
      <c r="X12" s="14"/>
      <c r="Y12" s="23" t="str">
        <f aca="false">IF(OR(U12="",R12="",S12="",T12=""),"",U12*S12/1000*T12/R12)</f>
        <v/>
      </c>
      <c r="Z12" s="23" t="str">
        <f aca="false">IF(OR(V12="",R12="",S12="",T12=""),"",V12*S12/1000*T12/R12)</f>
        <v/>
      </c>
      <c r="AA12" s="23" t="str">
        <f aca="false">IF(OR(W12="",R12="",S12="",T12=""),"",W12*S12/1000*T12/R12)</f>
        <v/>
      </c>
      <c r="AB12" s="23" t="str">
        <f aca="false">IF(OR(X12="",R12="",S12="",T12=""),"",X12*S12/1000*T12/R12)</f>
        <v/>
      </c>
      <c r="AC12" s="23" t="str">
        <f aca="false">IF(OR(Y12="",Z12=""),"",(Z12/39.1)/(Y12/22.99))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14"/>
      <c r="I13" s="14"/>
      <c r="J13" s="14"/>
      <c r="K13" s="14"/>
      <c r="L13" s="14"/>
      <c r="M13" s="23" t="str">
        <f aca="false">IF(OR(I13="",F13="",G13="",H13=""),"",I13*G13/1000*H13/F13)</f>
        <v/>
      </c>
      <c r="N13" s="23" t="str">
        <f aca="false">IF(OR(J13="",F13="",G13="",H13=""),"",J13*G13/1000*H13/F13)</f>
        <v/>
      </c>
      <c r="O13" s="23" t="str">
        <f aca="false">IF(OR(K13="",F13="",G13="",H13=""),"",K13*G13/1000*H13/F13)</f>
        <v/>
      </c>
      <c r="P13" s="23" t="str">
        <f aca="false">IF(OR(L13="",F13="",G13="",H13=""),"",L13*G13/1000*H13/F13)</f>
        <v/>
      </c>
      <c r="Q13" s="23" t="str">
        <f aca="false">IF(OR(M13="",N13=""),"",(N13/39.1)/(M13/22.99))</f>
        <v/>
      </c>
      <c r="R13" s="14"/>
      <c r="S13" s="14"/>
      <c r="T13" s="14"/>
      <c r="U13" s="14"/>
      <c r="V13" s="14"/>
      <c r="W13" s="14"/>
      <c r="X13" s="14"/>
      <c r="Y13" s="23" t="str">
        <f aca="false">IF(OR(U13="",R13="",S13="",T13=""),"",U13*S13/1000*T13/R13)</f>
        <v/>
      </c>
      <c r="Z13" s="23" t="str">
        <f aca="false">IF(OR(V13="",R13="",S13="",T13=""),"",V13*S13/1000*T13/R13)</f>
        <v/>
      </c>
      <c r="AA13" s="23" t="str">
        <f aca="false">IF(OR(W13="",R13="",S13="",T13=""),"",W13*S13/1000*T13/R13)</f>
        <v/>
      </c>
      <c r="AB13" s="23" t="str">
        <f aca="false">IF(OR(X13="",R13="",S13="",T13=""),"",X13*S13/1000*T13/R13)</f>
        <v/>
      </c>
      <c r="AC13" s="23" t="str">
        <f aca="false">IF(OR(Y13="",Z13=""),"",(Z13/39.1)/(Y13/22.99))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14"/>
      <c r="I14" s="14"/>
      <c r="J14" s="14"/>
      <c r="K14" s="14"/>
      <c r="L14" s="14"/>
      <c r="M14" s="23" t="str">
        <f aca="false">IF(OR(I14="",F14="",G14="",H14=""),"",I14*G14/1000*H14/F14)</f>
        <v/>
      </c>
      <c r="N14" s="23" t="str">
        <f aca="false">IF(OR(J14="",F14="",G14="",H14=""),"",J14*G14/1000*H14/F14)</f>
        <v/>
      </c>
      <c r="O14" s="23" t="str">
        <f aca="false">IF(OR(K14="",F14="",G14="",H14=""),"",K14*G14/1000*H14/F14)</f>
        <v/>
      </c>
      <c r="P14" s="23" t="str">
        <f aca="false">IF(OR(L14="",F14="",G14="",H14=""),"",L14*G14/1000*H14/F14)</f>
        <v/>
      </c>
      <c r="Q14" s="23" t="str">
        <f aca="false">IF(OR(M14="",N14=""),"",(N14/39.1)/(M14/22.99))</f>
        <v/>
      </c>
      <c r="R14" s="14"/>
      <c r="S14" s="14"/>
      <c r="T14" s="14"/>
      <c r="U14" s="14"/>
      <c r="V14" s="14"/>
      <c r="W14" s="14"/>
      <c r="X14" s="14"/>
      <c r="Y14" s="23" t="str">
        <f aca="false">IF(OR(U14="",R14="",S14="",T14=""),"",U14*S14/1000*T14/R14)</f>
        <v/>
      </c>
      <c r="Z14" s="23" t="str">
        <f aca="false">IF(OR(V14="",R14="",S14="",T14=""),"",V14*S14/1000*T14/R14)</f>
        <v/>
      </c>
      <c r="AA14" s="23" t="str">
        <f aca="false">IF(OR(W14="",R14="",S14="",T14=""),"",W14*S14/1000*T14/R14)</f>
        <v/>
      </c>
      <c r="AB14" s="23" t="str">
        <f aca="false">IF(OR(X14="",R14="",S14="",T14=""),"",X14*S14/1000*T14/R14)</f>
        <v/>
      </c>
      <c r="AC14" s="23" t="str">
        <f aca="false">IF(OR(Y14="",Z14=""),"",(Z14/39.1)/(Y14/22.99))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14"/>
      <c r="I15" s="14"/>
      <c r="J15" s="14"/>
      <c r="K15" s="14"/>
      <c r="L15" s="14"/>
      <c r="M15" s="23" t="str">
        <f aca="false">IF(OR(I15="",F15="",G15="",H15=""),"",I15*G15/1000*H15/F15)</f>
        <v/>
      </c>
      <c r="N15" s="23" t="str">
        <f aca="false">IF(OR(J15="",F15="",G15="",H15=""),"",J15*G15/1000*H15/F15)</f>
        <v/>
      </c>
      <c r="O15" s="23" t="str">
        <f aca="false">IF(OR(K15="",F15="",G15="",H15=""),"",K15*G15/1000*H15/F15)</f>
        <v/>
      </c>
      <c r="P15" s="23" t="str">
        <f aca="false">IF(OR(L15="",F15="",G15="",H15=""),"",L15*G15/1000*H15/F15)</f>
        <v/>
      </c>
      <c r="Q15" s="23" t="str">
        <f aca="false">IF(OR(M15="",N15=""),"",(N15/39.1)/(M15/22.99))</f>
        <v/>
      </c>
      <c r="R15" s="14"/>
      <c r="S15" s="14"/>
      <c r="T15" s="14"/>
      <c r="U15" s="14"/>
      <c r="V15" s="14"/>
      <c r="W15" s="14"/>
      <c r="X15" s="14"/>
      <c r="Y15" s="23" t="str">
        <f aca="false">IF(OR(U15="",R15="",S15="",T15=""),"",U15*S15/1000*T15/R15)</f>
        <v/>
      </c>
      <c r="Z15" s="23" t="str">
        <f aca="false">IF(OR(V15="",R15="",S15="",T15=""),"",V15*S15/1000*T15/R15)</f>
        <v/>
      </c>
      <c r="AA15" s="23" t="str">
        <f aca="false">IF(OR(W15="",R15="",S15="",T15=""),"",W15*S15/1000*T15/R15)</f>
        <v/>
      </c>
      <c r="AB15" s="23" t="str">
        <f aca="false">IF(OR(X15="",R15="",S15="",T15=""),"",X15*S15/1000*T15/R15)</f>
        <v/>
      </c>
      <c r="AC15" s="23" t="str">
        <f aca="false">IF(OR(Y15="",Z15=""),"",(Z15/39.1)/(Y15/22.99))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14"/>
      <c r="I16" s="14"/>
      <c r="J16" s="14"/>
      <c r="K16" s="14"/>
      <c r="L16" s="14"/>
      <c r="M16" s="23" t="str">
        <f aca="false">IF(OR(I16="",F16="",G16="",H16=""),"",I16*G16/1000*H16/F16)</f>
        <v/>
      </c>
      <c r="N16" s="23" t="str">
        <f aca="false">IF(OR(J16="",F16="",G16="",H16=""),"",J16*G16/1000*H16/F16)</f>
        <v/>
      </c>
      <c r="O16" s="23" t="str">
        <f aca="false">IF(OR(K16="",F16="",G16="",H16=""),"",K16*G16/1000*H16/F16)</f>
        <v/>
      </c>
      <c r="P16" s="23" t="str">
        <f aca="false">IF(OR(L16="",F16="",G16="",H16=""),"",L16*G16/1000*H16/F16)</f>
        <v/>
      </c>
      <c r="Q16" s="23" t="str">
        <f aca="false">IF(OR(M16="",N16=""),"",(N16/39.1)/(M16/22.99))</f>
        <v/>
      </c>
      <c r="R16" s="14"/>
      <c r="S16" s="14"/>
      <c r="T16" s="14"/>
      <c r="U16" s="14"/>
      <c r="V16" s="14"/>
      <c r="W16" s="14"/>
      <c r="X16" s="14"/>
      <c r="Y16" s="23" t="str">
        <f aca="false">IF(OR(U16="",R16="",S16="",T16=""),"",U16*S16/1000*T16/R16)</f>
        <v/>
      </c>
      <c r="Z16" s="23" t="str">
        <f aca="false">IF(OR(V16="",R16="",S16="",T16=""),"",V16*S16/1000*T16/R16)</f>
        <v/>
      </c>
      <c r="AA16" s="23" t="str">
        <f aca="false">IF(OR(W16="",R16="",S16="",T16=""),"",W16*S16/1000*T16/R16)</f>
        <v/>
      </c>
      <c r="AB16" s="23" t="str">
        <f aca="false">IF(OR(X16="",R16="",S16="",T16=""),"",X16*S16/1000*T16/R16)</f>
        <v/>
      </c>
      <c r="AC16" s="23" t="str">
        <f aca="false">IF(OR(Y16="",Z16=""),"",(Z16/39.1)/(Y16/22.99))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14"/>
      <c r="I17" s="14"/>
      <c r="J17" s="14"/>
      <c r="K17" s="14"/>
      <c r="L17" s="14"/>
      <c r="M17" s="23" t="str">
        <f aca="false">IF(OR(I17="",F17="",G17="",H17=""),"",I17*G17/1000*H17/F17)</f>
        <v/>
      </c>
      <c r="N17" s="23" t="str">
        <f aca="false">IF(OR(J17="",F17="",G17="",H17=""),"",J17*G17/1000*H17/F17)</f>
        <v/>
      </c>
      <c r="O17" s="23" t="str">
        <f aca="false">IF(OR(K17="",F17="",G17="",H17=""),"",K17*G17/1000*H17/F17)</f>
        <v/>
      </c>
      <c r="P17" s="23" t="str">
        <f aca="false">IF(OR(L17="",F17="",G17="",H17=""),"",L17*G17/1000*H17/F17)</f>
        <v/>
      </c>
      <c r="Q17" s="23" t="str">
        <f aca="false">IF(OR(M17="",N17=""),"",(N17/39.1)/(M17/22.99))</f>
        <v/>
      </c>
      <c r="R17" s="14"/>
      <c r="S17" s="14"/>
      <c r="T17" s="14"/>
      <c r="U17" s="14"/>
      <c r="V17" s="14"/>
      <c r="W17" s="14"/>
      <c r="X17" s="14"/>
      <c r="Y17" s="23" t="str">
        <f aca="false">IF(OR(U17="",R17="",S17="",T17=""),"",U17*S17/1000*T17/R17)</f>
        <v/>
      </c>
      <c r="Z17" s="23" t="str">
        <f aca="false">IF(OR(V17="",R17="",S17="",T17=""),"",V17*S17/1000*T17/R17)</f>
        <v/>
      </c>
      <c r="AA17" s="23" t="str">
        <f aca="false">IF(OR(W17="",R17="",S17="",T17=""),"",W17*S17/1000*T17/R17)</f>
        <v/>
      </c>
      <c r="AB17" s="23" t="str">
        <f aca="false">IF(OR(X17="",R17="",S17="",T17=""),"",X17*S17/1000*T17/R17)</f>
        <v/>
      </c>
      <c r="AC17" s="23" t="str">
        <f aca="false">IF(OR(Y17="",Z17=""),"",(Z17/39.1)/(Y17/22.99))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14"/>
      <c r="I18" s="14"/>
      <c r="J18" s="14"/>
      <c r="K18" s="14"/>
      <c r="L18" s="14"/>
      <c r="M18" s="23" t="str">
        <f aca="false">IF(OR(I18="",F18="",G18="",H18=""),"",I18*G18/1000*H18/F18)</f>
        <v/>
      </c>
      <c r="N18" s="23" t="str">
        <f aca="false">IF(OR(J18="",F18="",G18="",H18=""),"",J18*G18/1000*H18/F18)</f>
        <v/>
      </c>
      <c r="O18" s="23" t="str">
        <f aca="false">IF(OR(K18="",F18="",G18="",H18=""),"",K18*G18/1000*H18/F18)</f>
        <v/>
      </c>
      <c r="P18" s="23" t="str">
        <f aca="false">IF(OR(L18="",F18="",G18="",H18=""),"",L18*G18/1000*H18/F18)</f>
        <v/>
      </c>
      <c r="Q18" s="23" t="str">
        <f aca="false">IF(OR(M18="",N18=""),"",(N18/39.1)/(M18/22.99))</f>
        <v/>
      </c>
      <c r="R18" s="14"/>
      <c r="S18" s="14"/>
      <c r="T18" s="14"/>
      <c r="U18" s="14"/>
      <c r="V18" s="14"/>
      <c r="W18" s="14"/>
      <c r="X18" s="14"/>
      <c r="Y18" s="23" t="str">
        <f aca="false">IF(OR(U18="",R18="",S18="",T18=""),"",U18*S18/1000*T18/R18)</f>
        <v/>
      </c>
      <c r="Z18" s="23" t="str">
        <f aca="false">IF(OR(V18="",R18="",S18="",T18=""),"",V18*S18/1000*T18/R18)</f>
        <v/>
      </c>
      <c r="AA18" s="23" t="str">
        <f aca="false">IF(OR(W18="",R18="",S18="",T18=""),"",W18*S18/1000*T18/R18)</f>
        <v/>
      </c>
      <c r="AB18" s="23" t="str">
        <f aca="false">IF(OR(X18="",R18="",S18="",T18=""),"",X18*S18/1000*T18/R18)</f>
        <v/>
      </c>
      <c r="AC18" s="23" t="str">
        <f aca="false">IF(OR(Y18="",Z18=""),"",(Z18/39.1)/(Y18/22.99))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14"/>
      <c r="I19" s="14"/>
      <c r="J19" s="14"/>
      <c r="K19" s="14"/>
      <c r="L19" s="14"/>
      <c r="M19" s="23" t="str">
        <f aca="false">IF(OR(I19="",F19="",G19="",H19=""),"",I19*G19/1000*H19/F19)</f>
        <v/>
      </c>
      <c r="N19" s="23" t="str">
        <f aca="false">IF(OR(J19="",F19="",G19="",H19=""),"",J19*G19/1000*H19/F19)</f>
        <v/>
      </c>
      <c r="O19" s="23" t="str">
        <f aca="false">IF(OR(K19="",F19="",G19="",H19=""),"",K19*G19/1000*H19/F19)</f>
        <v/>
      </c>
      <c r="P19" s="23" t="str">
        <f aca="false">IF(OR(L19="",F19="",G19="",H19=""),"",L19*G19/1000*H19/F19)</f>
        <v/>
      </c>
      <c r="Q19" s="23" t="str">
        <f aca="false">IF(OR(M19="",N19=""),"",(N19/39.1)/(M19/22.99))</f>
        <v/>
      </c>
      <c r="R19" s="14"/>
      <c r="S19" s="14"/>
      <c r="T19" s="14"/>
      <c r="U19" s="14"/>
      <c r="V19" s="14"/>
      <c r="W19" s="14"/>
      <c r="X19" s="14"/>
      <c r="Y19" s="23" t="str">
        <f aca="false">IF(OR(U19="",R19="",S19="",T19=""),"",U19*S19/1000*T19/R19)</f>
        <v/>
      </c>
      <c r="Z19" s="23" t="str">
        <f aca="false">IF(OR(V19="",R19="",S19="",T19=""),"",V19*S19/1000*T19/R19)</f>
        <v/>
      </c>
      <c r="AA19" s="23" t="str">
        <f aca="false">IF(OR(W19="",R19="",S19="",T19=""),"",W19*S19/1000*T19/R19)</f>
        <v/>
      </c>
      <c r="AB19" s="23" t="str">
        <f aca="false">IF(OR(X19="",R19="",S19="",T19=""),"",X19*S19/1000*T19/R19)</f>
        <v/>
      </c>
      <c r="AC19" s="23" t="str">
        <f aca="false">IF(OR(Y19="",Z19=""),"",(Z19/39.1)/(Y19/22.99))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14"/>
      <c r="I20" s="14"/>
      <c r="J20" s="14"/>
      <c r="K20" s="14"/>
      <c r="L20" s="14"/>
      <c r="M20" s="23" t="str">
        <f aca="false">IF(OR(I20="",F20="",G20="",H20=""),"",I20*G20/1000*H20/F20)</f>
        <v/>
      </c>
      <c r="N20" s="23" t="str">
        <f aca="false">IF(OR(J20="",F20="",G20="",H20=""),"",J20*G20/1000*H20/F20)</f>
        <v/>
      </c>
      <c r="O20" s="23" t="str">
        <f aca="false">IF(OR(K20="",F20="",G20="",H20=""),"",K20*G20/1000*H20/F20)</f>
        <v/>
      </c>
      <c r="P20" s="23" t="str">
        <f aca="false">IF(OR(L20="",F20="",G20="",H20=""),"",L20*G20/1000*H20/F20)</f>
        <v/>
      </c>
      <c r="Q20" s="23" t="str">
        <f aca="false">IF(OR(M20="",N20=""),"",(N20/39.1)/(M20/22.99))</f>
        <v/>
      </c>
      <c r="R20" s="14"/>
      <c r="S20" s="14"/>
      <c r="T20" s="14"/>
      <c r="U20" s="14"/>
      <c r="V20" s="14"/>
      <c r="W20" s="14"/>
      <c r="X20" s="14"/>
      <c r="Y20" s="23" t="str">
        <f aca="false">IF(OR(U20="",R20="",S20="",T20=""),"",U20*S20/1000*T20/R20)</f>
        <v/>
      </c>
      <c r="Z20" s="23" t="str">
        <f aca="false">IF(OR(V20="",R20="",S20="",T20=""),"",V20*S20/1000*T20/R20)</f>
        <v/>
      </c>
      <c r="AA20" s="23" t="str">
        <f aca="false">IF(OR(W20="",R20="",S20="",T20=""),"",W20*S20/1000*T20/R20)</f>
        <v/>
      </c>
      <c r="AB20" s="23" t="str">
        <f aca="false">IF(OR(X20="",R20="",S20="",T20=""),"",X20*S20/1000*T20/R20)</f>
        <v/>
      </c>
      <c r="AC20" s="23" t="str">
        <f aca="false">IF(OR(Y20="",Z20=""),"",(Z20/39.1)/(Y20/22.99))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14"/>
      <c r="I21" s="14"/>
      <c r="J21" s="14"/>
      <c r="K21" s="14"/>
      <c r="L21" s="14"/>
      <c r="M21" s="23" t="str">
        <f aca="false">IF(OR(I21="",F21="",G21="",H21=""),"",I21*G21/1000*H21/F21)</f>
        <v/>
      </c>
      <c r="N21" s="23" t="str">
        <f aca="false">IF(OR(J21="",F21="",G21="",H21=""),"",J21*G21/1000*H21/F21)</f>
        <v/>
      </c>
      <c r="O21" s="23" t="str">
        <f aca="false">IF(OR(K21="",F21="",G21="",H21=""),"",K21*G21/1000*H21/F21)</f>
        <v/>
      </c>
      <c r="P21" s="23" t="str">
        <f aca="false">IF(OR(L21="",F21="",G21="",H21=""),"",L21*G21/1000*H21/F21)</f>
        <v/>
      </c>
      <c r="Q21" s="23" t="str">
        <f aca="false">IF(OR(M21="",N21=""),"",(N21/39.1)/(M21/22.99))</f>
        <v/>
      </c>
      <c r="R21" s="14"/>
      <c r="S21" s="14"/>
      <c r="T21" s="14"/>
      <c r="U21" s="14"/>
      <c r="V21" s="14"/>
      <c r="W21" s="14"/>
      <c r="X21" s="14"/>
      <c r="Y21" s="23" t="str">
        <f aca="false">IF(OR(U21="",R21="",S21="",T21=""),"",U21*S21/1000*T21/R21)</f>
        <v/>
      </c>
      <c r="Z21" s="23" t="str">
        <f aca="false">IF(OR(V21="",R21="",S21="",T21=""),"",V21*S21/1000*T21/R21)</f>
        <v/>
      </c>
      <c r="AA21" s="23" t="str">
        <f aca="false">IF(OR(W21="",R21="",S21="",T21=""),"",W21*S21/1000*T21/R21)</f>
        <v/>
      </c>
      <c r="AB21" s="23" t="str">
        <f aca="false">IF(OR(X21="",R21="",S21="",T21=""),"",X21*S21/1000*T21/R21)</f>
        <v/>
      </c>
      <c r="AC21" s="23" t="str">
        <f aca="false">IF(OR(Y21="",Z21=""),"",(Z21/39.1)/(Y21/22.99))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14"/>
      <c r="I22" s="14"/>
      <c r="J22" s="14"/>
      <c r="K22" s="14"/>
      <c r="L22" s="14"/>
      <c r="M22" s="23" t="str">
        <f aca="false">IF(OR(I22="",F22="",G22="",H22=""),"",I22*G22/1000*H22/F22)</f>
        <v/>
      </c>
      <c r="N22" s="23" t="str">
        <f aca="false">IF(OR(J22="",F22="",G22="",H22=""),"",J22*G22/1000*H22/F22)</f>
        <v/>
      </c>
      <c r="O22" s="23" t="str">
        <f aca="false">IF(OR(K22="",F22="",G22="",H22=""),"",K22*G22/1000*H22/F22)</f>
        <v/>
      </c>
      <c r="P22" s="23" t="str">
        <f aca="false">IF(OR(L22="",F22="",G22="",H22=""),"",L22*G22/1000*H22/F22)</f>
        <v/>
      </c>
      <c r="Q22" s="23" t="str">
        <f aca="false">IF(OR(M22="",N22=""),"",(N22/39.1)/(M22/22.99))</f>
        <v/>
      </c>
      <c r="R22" s="14"/>
      <c r="S22" s="14"/>
      <c r="T22" s="14"/>
      <c r="U22" s="14"/>
      <c r="V22" s="14"/>
      <c r="W22" s="14"/>
      <c r="X22" s="14"/>
      <c r="Y22" s="23" t="str">
        <f aca="false">IF(OR(U22="",R22="",S22="",T22=""),"",U22*S22/1000*T22/R22)</f>
        <v/>
      </c>
      <c r="Z22" s="23" t="str">
        <f aca="false">IF(OR(V22="",R22="",S22="",T22=""),"",V22*S22/1000*T22/R22)</f>
        <v/>
      </c>
      <c r="AA22" s="23" t="str">
        <f aca="false">IF(OR(W22="",R22="",S22="",T22=""),"",W22*S22/1000*T22/R22)</f>
        <v/>
      </c>
      <c r="AB22" s="23" t="str">
        <f aca="false">IF(OR(X22="",R22="",S22="",T22=""),"",X22*S22/1000*T22/R22)</f>
        <v/>
      </c>
      <c r="AC22" s="23" t="str">
        <f aca="false">IF(OR(Y22="",Z22=""),"",(Z22/39.1)/(Y22/22.99))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14"/>
      <c r="I23" s="14"/>
      <c r="J23" s="14"/>
      <c r="K23" s="14"/>
      <c r="L23" s="14"/>
      <c r="M23" s="23" t="str">
        <f aca="false">IF(OR(I23="",F23="",G23="",H23=""),"",I23*G23/1000*H23/F23)</f>
        <v/>
      </c>
      <c r="N23" s="23" t="str">
        <f aca="false">IF(OR(J23="",F23="",G23="",H23=""),"",J23*G23/1000*H23/F23)</f>
        <v/>
      </c>
      <c r="O23" s="23" t="str">
        <f aca="false">IF(OR(K23="",F23="",G23="",H23=""),"",K23*G23/1000*H23/F23)</f>
        <v/>
      </c>
      <c r="P23" s="23" t="str">
        <f aca="false">IF(OR(L23="",F23="",G23="",H23=""),"",L23*G23/1000*H23/F23)</f>
        <v/>
      </c>
      <c r="Q23" s="23" t="str">
        <f aca="false">IF(OR(M23="",N23=""),"",(N23/39.1)/(M23/22.99))</f>
        <v/>
      </c>
      <c r="R23" s="14"/>
      <c r="S23" s="14"/>
      <c r="T23" s="14"/>
      <c r="U23" s="14"/>
      <c r="V23" s="14"/>
      <c r="W23" s="14"/>
      <c r="X23" s="14"/>
      <c r="Y23" s="23" t="str">
        <f aca="false">IF(OR(U23="",R23="",S23="",T23=""),"",U23*S23/1000*T23/R23)</f>
        <v/>
      </c>
      <c r="Z23" s="23" t="str">
        <f aca="false">IF(OR(V23="",R23="",S23="",T23=""),"",V23*S23/1000*T23/R23)</f>
        <v/>
      </c>
      <c r="AA23" s="23" t="str">
        <f aca="false">IF(OR(W23="",R23="",S23="",T23=""),"",W23*S23/1000*T23/R23)</f>
        <v/>
      </c>
      <c r="AB23" s="23" t="str">
        <f aca="false">IF(OR(X23="",R23="",S23="",T23=""),"",X23*S23/1000*T23/R23)</f>
        <v/>
      </c>
      <c r="AC23" s="23" t="str">
        <f aca="false">IF(OR(Y23="",Z23=""),"",(Z23/39.1)/(Y23/22.99))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14"/>
      <c r="I24" s="14"/>
      <c r="J24" s="14"/>
      <c r="K24" s="14"/>
      <c r="L24" s="14"/>
      <c r="M24" s="23" t="str">
        <f aca="false">IF(OR(I24="",F24="",G24="",H24=""),"",I24*G24/1000*H24/F24)</f>
        <v/>
      </c>
      <c r="N24" s="23" t="str">
        <f aca="false">IF(OR(J24="",F24="",G24="",H24=""),"",J24*G24/1000*H24/F24)</f>
        <v/>
      </c>
      <c r="O24" s="23" t="str">
        <f aca="false">IF(OR(K24="",F24="",G24="",H24=""),"",K24*G24/1000*H24/F24)</f>
        <v/>
      </c>
      <c r="P24" s="23" t="str">
        <f aca="false">IF(OR(L24="",F24="",G24="",H24=""),"",L24*G24/1000*H24/F24)</f>
        <v/>
      </c>
      <c r="Q24" s="23" t="str">
        <f aca="false">IF(OR(M24="",N24=""),"",(N24/39.1)/(M24/22.99))</f>
        <v/>
      </c>
      <c r="R24" s="14"/>
      <c r="S24" s="14"/>
      <c r="T24" s="14"/>
      <c r="U24" s="14"/>
      <c r="V24" s="14"/>
      <c r="W24" s="14"/>
      <c r="X24" s="14"/>
      <c r="Y24" s="23" t="str">
        <f aca="false">IF(OR(U24="",R24="",S24="",T24=""),"",U24*S24/1000*T24/R24)</f>
        <v/>
      </c>
      <c r="Z24" s="23" t="str">
        <f aca="false">IF(OR(V24="",R24="",S24="",T24=""),"",V24*S24/1000*T24/R24)</f>
        <v/>
      </c>
      <c r="AA24" s="23" t="str">
        <f aca="false">IF(OR(W24="",R24="",S24="",T24=""),"",W24*S24/1000*T24/R24)</f>
        <v/>
      </c>
      <c r="AB24" s="23" t="str">
        <f aca="false">IF(OR(X24="",R24="",S24="",T24=""),"",X24*S24/1000*T24/R24)</f>
        <v/>
      </c>
      <c r="AC24" s="23" t="str">
        <f aca="false">IF(OR(Y24="",Z24=""),"",(Z24/39.1)/(Y24/22.99))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14"/>
      <c r="I25" s="14"/>
      <c r="J25" s="14"/>
      <c r="K25" s="14"/>
      <c r="L25" s="14"/>
      <c r="M25" s="23" t="str">
        <f aca="false">IF(OR(I25="",F25="",G25="",H25=""),"",I25*G25/1000*H25/F25)</f>
        <v/>
      </c>
      <c r="N25" s="23" t="str">
        <f aca="false">IF(OR(J25="",F25="",G25="",H25=""),"",J25*G25/1000*H25/F25)</f>
        <v/>
      </c>
      <c r="O25" s="23" t="str">
        <f aca="false">IF(OR(K25="",F25="",G25="",H25=""),"",K25*G25/1000*H25/F25)</f>
        <v/>
      </c>
      <c r="P25" s="23" t="str">
        <f aca="false">IF(OR(L25="",F25="",G25="",H25=""),"",L25*G25/1000*H25/F25)</f>
        <v/>
      </c>
      <c r="Q25" s="23" t="str">
        <f aca="false">IF(OR(M25="",N25=""),"",(N25/39.1)/(M25/22.99))</f>
        <v/>
      </c>
      <c r="R25" s="14"/>
      <c r="S25" s="14"/>
      <c r="T25" s="14"/>
      <c r="U25" s="14"/>
      <c r="V25" s="14"/>
      <c r="W25" s="14"/>
      <c r="X25" s="14"/>
      <c r="Y25" s="23" t="str">
        <f aca="false">IF(OR(U25="",R25="",S25="",T25=""),"",U25*S25/1000*T25/R25)</f>
        <v/>
      </c>
      <c r="Z25" s="23" t="str">
        <f aca="false">IF(OR(V25="",R25="",S25="",T25=""),"",V25*S25/1000*T25/R25)</f>
        <v/>
      </c>
      <c r="AA25" s="23" t="str">
        <f aca="false">IF(OR(W25="",R25="",S25="",T25=""),"",W25*S25/1000*T25/R25)</f>
        <v/>
      </c>
      <c r="AB25" s="23" t="str">
        <f aca="false">IF(OR(X25="",R25="",S25="",T25=""),"",X25*S25/1000*T25/R25)</f>
        <v/>
      </c>
      <c r="AC25" s="23" t="str">
        <f aca="false">IF(OR(Y25="",Z25=""),"",(Z25/39.1)/(Y25/22.99))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14"/>
      <c r="I26" s="14"/>
      <c r="J26" s="14"/>
      <c r="K26" s="14"/>
      <c r="L26" s="14"/>
      <c r="M26" s="23" t="str">
        <f aca="false">IF(OR(I26="",F26="",G26="",H26=""),"",I26*G26/1000*H26/F26)</f>
        <v/>
      </c>
      <c r="N26" s="23" t="str">
        <f aca="false">IF(OR(J26="",F26="",G26="",H26=""),"",J26*G26/1000*H26/F26)</f>
        <v/>
      </c>
      <c r="O26" s="23" t="str">
        <f aca="false">IF(OR(K26="",F26="",G26="",H26=""),"",K26*G26/1000*H26/F26)</f>
        <v/>
      </c>
      <c r="P26" s="23" t="str">
        <f aca="false">IF(OR(L26="",F26="",G26="",H26=""),"",L26*G26/1000*H26/F26)</f>
        <v/>
      </c>
      <c r="Q26" s="23" t="str">
        <f aca="false">IF(OR(M26="",N26=""),"",(N26/39.1)/(M26/22.99))</f>
        <v/>
      </c>
      <c r="R26" s="14"/>
      <c r="S26" s="14"/>
      <c r="T26" s="14"/>
      <c r="U26" s="14"/>
      <c r="V26" s="14"/>
      <c r="W26" s="14"/>
      <c r="X26" s="14"/>
      <c r="Y26" s="23" t="str">
        <f aca="false">IF(OR(U26="",R26="",S26="",T26=""),"",U26*S26/1000*T26/R26)</f>
        <v/>
      </c>
      <c r="Z26" s="23" t="str">
        <f aca="false">IF(OR(V26="",R26="",S26="",T26=""),"",V26*S26/1000*T26/R26)</f>
        <v/>
      </c>
      <c r="AA26" s="23" t="str">
        <f aca="false">IF(OR(W26="",R26="",S26="",T26=""),"",W26*S26/1000*T26/R26)</f>
        <v/>
      </c>
      <c r="AB26" s="23" t="str">
        <f aca="false">IF(OR(X26="",R26="",S26="",T26=""),"",X26*S26/1000*T26/R26)</f>
        <v/>
      </c>
      <c r="AC26" s="23" t="str">
        <f aca="false">IF(OR(Y26="",Z26=""),"",(Z26/39.1)/(Y26/22.99))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14"/>
      <c r="I27" s="14"/>
      <c r="J27" s="14"/>
      <c r="K27" s="14"/>
      <c r="L27" s="14"/>
      <c r="M27" s="23" t="str">
        <f aca="false">IF(OR(I27="",F27="",G27="",H27=""),"",I27*G27/1000*H27/F27)</f>
        <v/>
      </c>
      <c r="N27" s="23" t="str">
        <f aca="false">IF(OR(J27="",F27="",G27="",H27=""),"",J27*G27/1000*H27/F27)</f>
        <v/>
      </c>
      <c r="O27" s="23" t="str">
        <f aca="false">IF(OR(K27="",F27="",G27="",H27=""),"",K27*G27/1000*H27/F27)</f>
        <v/>
      </c>
      <c r="P27" s="23" t="str">
        <f aca="false">IF(OR(L27="",F27="",G27="",H27=""),"",L27*G27/1000*H27/F27)</f>
        <v/>
      </c>
      <c r="Q27" s="23" t="str">
        <f aca="false">IF(OR(M27="",N27=""),"",(N27/39.1)/(M27/22.99))</f>
        <v/>
      </c>
      <c r="R27" s="14"/>
      <c r="S27" s="14"/>
      <c r="T27" s="14"/>
      <c r="U27" s="14"/>
      <c r="V27" s="14"/>
      <c r="W27" s="14"/>
      <c r="X27" s="14"/>
      <c r="Y27" s="23" t="str">
        <f aca="false">IF(OR(U27="",R27="",S27="",T27=""),"",U27*S27/1000*T27/R27)</f>
        <v/>
      </c>
      <c r="Z27" s="23" t="str">
        <f aca="false">IF(OR(V27="",R27="",S27="",T27=""),"",V27*S27/1000*T27/R27)</f>
        <v/>
      </c>
      <c r="AA27" s="23" t="str">
        <f aca="false">IF(OR(W27="",R27="",S27="",T27=""),"",W27*S27/1000*T27/R27)</f>
        <v/>
      </c>
      <c r="AB27" s="23" t="str">
        <f aca="false">IF(OR(X27="",R27="",S27="",T27=""),"",X27*S27/1000*T27/R27)</f>
        <v/>
      </c>
      <c r="AC27" s="23" t="str">
        <f aca="false">IF(OR(Y27="",Z27=""),"",(Z27/39.1)/(Y27/22.99))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14"/>
      <c r="I28" s="14"/>
      <c r="J28" s="14"/>
      <c r="K28" s="14"/>
      <c r="L28" s="14"/>
      <c r="M28" s="23" t="str">
        <f aca="false">IF(OR(I28="",F28="",G28="",H28=""),"",I28*G28/1000*H28/F28)</f>
        <v/>
      </c>
      <c r="N28" s="23" t="str">
        <f aca="false">IF(OR(J28="",F28="",G28="",H28=""),"",J28*G28/1000*H28/F28)</f>
        <v/>
      </c>
      <c r="O28" s="23" t="str">
        <f aca="false">IF(OR(K28="",F28="",G28="",H28=""),"",K28*G28/1000*H28/F28)</f>
        <v/>
      </c>
      <c r="P28" s="23" t="str">
        <f aca="false">IF(OR(L28="",F28="",G28="",H28=""),"",L28*G28/1000*H28/F28)</f>
        <v/>
      </c>
      <c r="Q28" s="23" t="str">
        <f aca="false">IF(OR(M28="",N28=""),"",(N28/39.1)/(M28/22.99))</f>
        <v/>
      </c>
      <c r="R28" s="14"/>
      <c r="S28" s="14"/>
      <c r="T28" s="14"/>
      <c r="U28" s="14"/>
      <c r="V28" s="14"/>
      <c r="W28" s="14"/>
      <c r="X28" s="14"/>
      <c r="Y28" s="23" t="str">
        <f aca="false">IF(OR(U28="",R28="",S28="",T28=""),"",U28*S28/1000*T28/R28)</f>
        <v/>
      </c>
      <c r="Z28" s="23" t="str">
        <f aca="false">IF(OR(V28="",R28="",S28="",T28=""),"",V28*S28/1000*T28/R28)</f>
        <v/>
      </c>
      <c r="AA28" s="23" t="str">
        <f aca="false">IF(OR(W28="",R28="",S28="",T28=""),"",W28*S28/1000*T28/R28)</f>
        <v/>
      </c>
      <c r="AB28" s="23" t="str">
        <f aca="false">IF(OR(X28="",R28="",S28="",T28=""),"",X28*S28/1000*T28/R28)</f>
        <v/>
      </c>
      <c r="AC28" s="23" t="str">
        <f aca="false">IF(OR(Y28="",Z28=""),"",(Z28/39.1)/(Y28/22.99))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14"/>
      <c r="I29" s="14"/>
      <c r="J29" s="14"/>
      <c r="K29" s="14"/>
      <c r="L29" s="14"/>
      <c r="M29" s="23" t="str">
        <f aca="false">IF(OR(I29="",F29="",G29="",H29=""),"",I29*G29/1000*H29/F29)</f>
        <v/>
      </c>
      <c r="N29" s="23" t="str">
        <f aca="false">IF(OR(J29="",F29="",G29="",H29=""),"",J29*G29/1000*H29/F29)</f>
        <v/>
      </c>
      <c r="O29" s="23" t="str">
        <f aca="false">IF(OR(K29="",F29="",G29="",H29=""),"",K29*G29/1000*H29/F29)</f>
        <v/>
      </c>
      <c r="P29" s="23" t="str">
        <f aca="false">IF(OR(L29="",F29="",G29="",H29=""),"",L29*G29/1000*H29/F29)</f>
        <v/>
      </c>
      <c r="Q29" s="23" t="str">
        <f aca="false">IF(OR(M29="",N29=""),"",(N29/39.1)/(M29/22.99))</f>
        <v/>
      </c>
      <c r="R29" s="14"/>
      <c r="S29" s="14"/>
      <c r="T29" s="14"/>
      <c r="U29" s="14"/>
      <c r="V29" s="14"/>
      <c r="W29" s="14"/>
      <c r="X29" s="14"/>
      <c r="Y29" s="23" t="str">
        <f aca="false">IF(OR(U29="",R29="",S29="",T29=""),"",U29*S29/1000*T29/R29)</f>
        <v/>
      </c>
      <c r="Z29" s="23" t="str">
        <f aca="false">IF(OR(V29="",R29="",S29="",T29=""),"",V29*S29/1000*T29/R29)</f>
        <v/>
      </c>
      <c r="AA29" s="23" t="str">
        <f aca="false">IF(OR(W29="",R29="",S29="",T29=""),"",W29*S29/1000*T29/R29)</f>
        <v/>
      </c>
      <c r="AB29" s="23" t="str">
        <f aca="false">IF(OR(X29="",R29="",S29="",T29=""),"",X29*S29/1000*T29/R29)</f>
        <v/>
      </c>
      <c r="AC29" s="23" t="str">
        <f aca="false">IF(OR(Y29="",Z29=""),"",(Z29/39.1)/(Y29/22.99))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14"/>
      <c r="I30" s="14"/>
      <c r="J30" s="14"/>
      <c r="K30" s="14"/>
      <c r="L30" s="14"/>
      <c r="M30" s="23" t="str">
        <f aca="false">IF(OR(I30="",F30="",G30="",H30=""),"",I30*G30/1000*H30/F30)</f>
        <v/>
      </c>
      <c r="N30" s="23" t="str">
        <f aca="false">IF(OR(J30="",F30="",G30="",H30=""),"",J30*G30/1000*H30/F30)</f>
        <v/>
      </c>
      <c r="O30" s="23" t="str">
        <f aca="false">IF(OR(K30="",F30="",G30="",H30=""),"",K30*G30/1000*H30/F30)</f>
        <v/>
      </c>
      <c r="P30" s="23" t="str">
        <f aca="false">IF(OR(L30="",F30="",G30="",H30=""),"",L30*G30/1000*H30/F30)</f>
        <v/>
      </c>
      <c r="Q30" s="23" t="str">
        <f aca="false">IF(OR(M30="",N30=""),"",(N30/39.1)/(M30/22.99))</f>
        <v/>
      </c>
      <c r="R30" s="14"/>
      <c r="S30" s="14"/>
      <c r="T30" s="14"/>
      <c r="U30" s="14"/>
      <c r="V30" s="14"/>
      <c r="W30" s="14"/>
      <c r="X30" s="14"/>
      <c r="Y30" s="23" t="str">
        <f aca="false">IF(OR(U30="",R30="",S30="",T30=""),"",U30*S30/1000*T30/R30)</f>
        <v/>
      </c>
      <c r="Z30" s="23" t="str">
        <f aca="false">IF(OR(V30="",R30="",S30="",T30=""),"",V30*S30/1000*T30/R30)</f>
        <v/>
      </c>
      <c r="AA30" s="23" t="str">
        <f aca="false">IF(OR(W30="",R30="",S30="",T30=""),"",W30*S30/1000*T30/R30)</f>
        <v/>
      </c>
      <c r="AB30" s="23" t="str">
        <f aca="false">IF(OR(X30="",R30="",S30="",T30=""),"",X30*S30/1000*T30/R30)</f>
        <v/>
      </c>
      <c r="AC30" s="23" t="str">
        <f aca="false">IF(OR(Y30="",Z30=""),"",(Z30/39.1)/(Y30/22.99))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14"/>
      <c r="I31" s="14"/>
      <c r="J31" s="14"/>
      <c r="K31" s="14"/>
      <c r="L31" s="14"/>
      <c r="M31" s="23" t="str">
        <f aca="false">IF(OR(I31="",F31="",G31="",H31=""),"",I31*G31/1000*H31/F31)</f>
        <v/>
      </c>
      <c r="N31" s="23" t="str">
        <f aca="false">IF(OR(J31="",F31="",G31="",H31=""),"",J31*G31/1000*H31/F31)</f>
        <v/>
      </c>
      <c r="O31" s="23" t="str">
        <f aca="false">IF(OR(K31="",F31="",G31="",H31=""),"",K31*G31/1000*H31/F31)</f>
        <v/>
      </c>
      <c r="P31" s="23" t="str">
        <f aca="false">IF(OR(L31="",F31="",G31="",H31=""),"",L31*G31/1000*H31/F31)</f>
        <v/>
      </c>
      <c r="Q31" s="23" t="str">
        <f aca="false">IF(OR(M31="",N31=""),"",(N31/39.1)/(M31/22.99))</f>
        <v/>
      </c>
      <c r="R31" s="14"/>
      <c r="S31" s="14"/>
      <c r="T31" s="14"/>
      <c r="U31" s="14"/>
      <c r="V31" s="14"/>
      <c r="W31" s="14"/>
      <c r="X31" s="14"/>
      <c r="Y31" s="23" t="str">
        <f aca="false">IF(OR(U31="",R31="",S31="",T31=""),"",U31*S31/1000*T31/R31)</f>
        <v/>
      </c>
      <c r="Z31" s="23" t="str">
        <f aca="false">IF(OR(V31="",R31="",S31="",T31=""),"",V31*S31/1000*T31/R31)</f>
        <v/>
      </c>
      <c r="AA31" s="23" t="str">
        <f aca="false">IF(OR(W31="",R31="",S31="",T31=""),"",W31*S31/1000*T31/R31)</f>
        <v/>
      </c>
      <c r="AB31" s="23" t="str">
        <f aca="false">IF(OR(X31="",R31="",S31="",T31=""),"",X31*S31/1000*T31/R31)</f>
        <v/>
      </c>
      <c r="AC31" s="23" t="str">
        <f aca="false">IF(OR(Y31="",Z31=""),"",(Z31/39.1)/(Y31/22.99))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14"/>
      <c r="I32" s="14"/>
      <c r="J32" s="14"/>
      <c r="K32" s="14"/>
      <c r="L32" s="14"/>
      <c r="M32" s="23" t="str">
        <f aca="false">IF(OR(I32="",F32="",G32="",H32=""),"",I32*G32/1000*H32/F32)</f>
        <v/>
      </c>
      <c r="N32" s="23" t="str">
        <f aca="false">IF(OR(J32="",F32="",G32="",H32=""),"",J32*G32/1000*H32/F32)</f>
        <v/>
      </c>
      <c r="O32" s="23" t="str">
        <f aca="false">IF(OR(K32="",F32="",G32="",H32=""),"",K32*G32/1000*H32/F32)</f>
        <v/>
      </c>
      <c r="P32" s="23" t="str">
        <f aca="false">IF(OR(L32="",F32="",G32="",H32=""),"",L32*G32/1000*H32/F32)</f>
        <v/>
      </c>
      <c r="Q32" s="23" t="str">
        <f aca="false">IF(OR(M32="",N32=""),"",(N32/39.1)/(M32/22.99))</f>
        <v/>
      </c>
      <c r="R32" s="14"/>
      <c r="S32" s="14"/>
      <c r="T32" s="14"/>
      <c r="U32" s="14"/>
      <c r="V32" s="14"/>
      <c r="W32" s="14"/>
      <c r="X32" s="14"/>
      <c r="Y32" s="23" t="str">
        <f aca="false">IF(OR(U32="",R32="",S32="",T32=""),"",U32*S32/1000*T32/R32)</f>
        <v/>
      </c>
      <c r="Z32" s="23" t="str">
        <f aca="false">IF(OR(V32="",R32="",S32="",T32=""),"",V32*S32/1000*T32/R32)</f>
        <v/>
      </c>
      <c r="AA32" s="23" t="str">
        <f aca="false">IF(OR(W32="",R32="",S32="",T32=""),"",W32*S32/1000*T32/R32)</f>
        <v/>
      </c>
      <c r="AB32" s="23" t="str">
        <f aca="false">IF(OR(X32="",R32="",S32="",T32=""),"",X32*S32/1000*T32/R32)</f>
        <v/>
      </c>
      <c r="AC32" s="23" t="str">
        <f aca="false">IF(OR(Y32="",Z32=""),"",(Z32/39.1)/(Y32/22.99))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14"/>
      <c r="I33" s="14"/>
      <c r="J33" s="14"/>
      <c r="K33" s="14"/>
      <c r="L33" s="14"/>
      <c r="M33" s="23" t="str">
        <f aca="false">IF(OR(I33="",F33="",G33="",H33=""),"",I33*G33/1000*H33/F33)</f>
        <v/>
      </c>
      <c r="N33" s="23" t="str">
        <f aca="false">IF(OR(J33="",F33="",G33="",H33=""),"",J33*G33/1000*H33/F33)</f>
        <v/>
      </c>
      <c r="O33" s="23" t="str">
        <f aca="false">IF(OR(K33="",F33="",G33="",H33=""),"",K33*G33/1000*H33/F33)</f>
        <v/>
      </c>
      <c r="P33" s="23" t="str">
        <f aca="false">IF(OR(L33="",F33="",G33="",H33=""),"",L33*G33/1000*H33/F33)</f>
        <v/>
      </c>
      <c r="Q33" s="23" t="str">
        <f aca="false">IF(OR(M33="",N33=""),"",(N33/39.1)/(M33/22.99))</f>
        <v/>
      </c>
      <c r="R33" s="14"/>
      <c r="S33" s="14"/>
      <c r="T33" s="14"/>
      <c r="U33" s="14"/>
      <c r="V33" s="14"/>
      <c r="W33" s="14"/>
      <c r="X33" s="14"/>
      <c r="Y33" s="23" t="str">
        <f aca="false">IF(OR(U33="",R33="",S33="",T33=""),"",U33*S33/1000*T33/R33)</f>
        <v/>
      </c>
      <c r="Z33" s="23" t="str">
        <f aca="false">IF(OR(V33="",R33="",S33="",T33=""),"",V33*S33/1000*T33/R33)</f>
        <v/>
      </c>
      <c r="AA33" s="23" t="str">
        <f aca="false">IF(OR(W33="",R33="",S33="",T33=""),"",W33*S33/1000*T33/R33)</f>
        <v/>
      </c>
      <c r="AB33" s="23" t="str">
        <f aca="false">IF(OR(X33="",R33="",S33="",T33=""),"",X33*S33/1000*T33/R33)</f>
        <v/>
      </c>
      <c r="AC33" s="23" t="str">
        <f aca="false">IF(OR(Y33="",Z33=""),"",(Z33/39.1)/(Y33/22.99))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14"/>
      <c r="I34" s="14"/>
      <c r="J34" s="14"/>
      <c r="K34" s="14"/>
      <c r="L34" s="14"/>
      <c r="M34" s="23" t="str">
        <f aca="false">IF(OR(I34="",F34="",G34="",H34=""),"",I34*G34/1000*H34/F34)</f>
        <v/>
      </c>
      <c r="N34" s="23" t="str">
        <f aca="false">IF(OR(J34="",F34="",G34="",H34=""),"",J34*G34/1000*H34/F34)</f>
        <v/>
      </c>
      <c r="O34" s="23" t="str">
        <f aca="false">IF(OR(K34="",F34="",G34="",H34=""),"",K34*G34/1000*H34/F34)</f>
        <v/>
      </c>
      <c r="P34" s="23" t="str">
        <f aca="false">IF(OR(L34="",F34="",G34="",H34=""),"",L34*G34/1000*H34/F34)</f>
        <v/>
      </c>
      <c r="Q34" s="23" t="str">
        <f aca="false">IF(OR(M34="",N34=""),"",(N34/39.1)/(M34/22.99))</f>
        <v/>
      </c>
      <c r="R34" s="14"/>
      <c r="S34" s="14"/>
      <c r="T34" s="14"/>
      <c r="U34" s="14"/>
      <c r="V34" s="14"/>
      <c r="W34" s="14"/>
      <c r="X34" s="14"/>
      <c r="Y34" s="23" t="str">
        <f aca="false">IF(OR(U34="",R34="",S34="",T34=""),"",U34*S34/1000*T34/R34)</f>
        <v/>
      </c>
      <c r="Z34" s="23" t="str">
        <f aca="false">IF(OR(V34="",R34="",S34="",T34=""),"",V34*S34/1000*T34/R34)</f>
        <v/>
      </c>
      <c r="AA34" s="23" t="str">
        <f aca="false">IF(OR(W34="",R34="",S34="",T34=""),"",W34*S34/1000*T34/R34)</f>
        <v/>
      </c>
      <c r="AB34" s="23" t="str">
        <f aca="false">IF(OR(X34="",R34="",S34="",T34=""),"",X34*S34/1000*T34/R34)</f>
        <v/>
      </c>
      <c r="AC34" s="23" t="str">
        <f aca="false">IF(OR(Y34="",Z34=""),"",(Z34/39.1)/(Y34/22.99))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14"/>
      <c r="I35" s="14"/>
      <c r="J35" s="14"/>
      <c r="K35" s="14"/>
      <c r="L35" s="14"/>
      <c r="M35" s="23" t="str">
        <f aca="false">IF(OR(I35="",F35="",G35="",H35=""),"",I35*G35/1000*H35/F35)</f>
        <v/>
      </c>
      <c r="N35" s="23" t="str">
        <f aca="false">IF(OR(J35="",F35="",G35="",H35=""),"",J35*G35/1000*H35/F35)</f>
        <v/>
      </c>
      <c r="O35" s="23" t="str">
        <f aca="false">IF(OR(K35="",F35="",G35="",H35=""),"",K35*G35/1000*H35/F35)</f>
        <v/>
      </c>
      <c r="P35" s="23" t="str">
        <f aca="false">IF(OR(L35="",F35="",G35="",H35=""),"",L35*G35/1000*H35/F35)</f>
        <v/>
      </c>
      <c r="Q35" s="23" t="str">
        <f aca="false">IF(OR(M35="",N35=""),"",(N35/39.1)/(M35/22.99))</f>
        <v/>
      </c>
      <c r="R35" s="14"/>
      <c r="S35" s="14"/>
      <c r="T35" s="14"/>
      <c r="U35" s="14"/>
      <c r="V35" s="14"/>
      <c r="W35" s="14"/>
      <c r="X35" s="14"/>
      <c r="Y35" s="23" t="str">
        <f aca="false">IF(OR(U35="",R35="",S35="",T35=""),"",U35*S35/1000*T35/R35)</f>
        <v/>
      </c>
      <c r="Z35" s="23" t="str">
        <f aca="false">IF(OR(V35="",R35="",S35="",T35=""),"",V35*S35/1000*T35/R35)</f>
        <v/>
      </c>
      <c r="AA35" s="23" t="str">
        <f aca="false">IF(OR(W35="",R35="",S35="",T35=""),"",W35*S35/1000*T35/R35)</f>
        <v/>
      </c>
      <c r="AB35" s="23" t="str">
        <f aca="false">IF(OR(X35="",R35="",S35="",T35=""),"",X35*S35/1000*T35/R35)</f>
        <v/>
      </c>
      <c r="AC35" s="23" t="str">
        <f aca="false">IF(OR(Y35="",Z35=""),"",(Z35/39.1)/(Y35/22.99))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14"/>
      <c r="I36" s="14"/>
      <c r="J36" s="14"/>
      <c r="K36" s="14"/>
      <c r="L36" s="14"/>
      <c r="M36" s="23" t="str">
        <f aca="false">IF(OR(I36="",F36="",G36="",H36=""),"",I36*G36/1000*H36/F36)</f>
        <v/>
      </c>
      <c r="N36" s="23" t="str">
        <f aca="false">IF(OR(J36="",F36="",G36="",H36=""),"",J36*G36/1000*H36/F36)</f>
        <v/>
      </c>
      <c r="O36" s="23" t="str">
        <f aca="false">IF(OR(K36="",F36="",G36="",H36=""),"",K36*G36/1000*H36/F36)</f>
        <v/>
      </c>
      <c r="P36" s="23" t="str">
        <f aca="false">IF(OR(L36="",F36="",G36="",H36=""),"",L36*G36/1000*H36/F36)</f>
        <v/>
      </c>
      <c r="Q36" s="23" t="str">
        <f aca="false">IF(OR(M36="",N36=""),"",(N36/39.1)/(M36/22.99))</f>
        <v/>
      </c>
      <c r="R36" s="14"/>
      <c r="S36" s="14"/>
      <c r="T36" s="14"/>
      <c r="U36" s="14"/>
      <c r="V36" s="14"/>
      <c r="W36" s="14"/>
      <c r="X36" s="14"/>
      <c r="Y36" s="23" t="str">
        <f aca="false">IF(OR(U36="",R36="",S36="",T36=""),"",U36*S36/1000*T36/R36)</f>
        <v/>
      </c>
      <c r="Z36" s="23" t="str">
        <f aca="false">IF(OR(V36="",R36="",S36="",T36=""),"",V36*S36/1000*T36/R36)</f>
        <v/>
      </c>
      <c r="AA36" s="23" t="str">
        <f aca="false">IF(OR(W36="",R36="",S36="",T36=""),"",W36*S36/1000*T36/R36)</f>
        <v/>
      </c>
      <c r="AB36" s="23" t="str">
        <f aca="false">IF(OR(X36="",R36="",S36="",T36=""),"",X36*S36/1000*T36/R36)</f>
        <v/>
      </c>
      <c r="AC36" s="23" t="str">
        <f aca="false">IF(OR(Y36="",Z36=""),"",(Z36/39.1)/(Y36/22.99))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14"/>
      <c r="I37" s="14"/>
      <c r="J37" s="14"/>
      <c r="K37" s="14"/>
      <c r="L37" s="14"/>
      <c r="M37" s="23" t="str">
        <f aca="false">IF(OR(I37="",F37="",G37="",H37=""),"",I37*G37/1000*H37/F37)</f>
        <v/>
      </c>
      <c r="N37" s="23" t="str">
        <f aca="false">IF(OR(J37="",F37="",G37="",H37=""),"",J37*G37/1000*H37/F37)</f>
        <v/>
      </c>
      <c r="O37" s="23" t="str">
        <f aca="false">IF(OR(K37="",F37="",G37="",H37=""),"",K37*G37/1000*H37/F37)</f>
        <v/>
      </c>
      <c r="P37" s="23" t="str">
        <f aca="false">IF(OR(L37="",F37="",G37="",H37=""),"",L37*G37/1000*H37/F37)</f>
        <v/>
      </c>
      <c r="Q37" s="23" t="str">
        <f aca="false">IF(OR(M37="",N37=""),"",(N37/39.1)/(M37/22.99))</f>
        <v/>
      </c>
      <c r="R37" s="14"/>
      <c r="S37" s="14"/>
      <c r="T37" s="14"/>
      <c r="U37" s="14"/>
      <c r="V37" s="14"/>
      <c r="W37" s="14"/>
      <c r="X37" s="14"/>
      <c r="Y37" s="23" t="str">
        <f aca="false">IF(OR(U37="",R37="",S37="",T37=""),"",U37*S37/1000*T37/R37)</f>
        <v/>
      </c>
      <c r="Z37" s="23" t="str">
        <f aca="false">IF(OR(V37="",R37="",S37="",T37=""),"",V37*S37/1000*T37/R37)</f>
        <v/>
      </c>
      <c r="AA37" s="23" t="str">
        <f aca="false">IF(OR(W37="",R37="",S37="",T37=""),"",W37*S37/1000*T37/R37)</f>
        <v/>
      </c>
      <c r="AB37" s="23" t="str">
        <f aca="false">IF(OR(X37="",R37="",S37="",T37=""),"",X37*S37/1000*T37/R37)</f>
        <v/>
      </c>
      <c r="AC37" s="23" t="str">
        <f aca="false">IF(OR(Y37="",Z37=""),"",(Z37/39.1)/(Y37/22.99))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14"/>
      <c r="I38" s="14"/>
      <c r="J38" s="14"/>
      <c r="K38" s="14"/>
      <c r="L38" s="14"/>
      <c r="M38" s="23" t="str">
        <f aca="false">IF(OR(I38="",F38="",G38="",H38=""),"",I38*G38/1000*H38/F38)</f>
        <v/>
      </c>
      <c r="N38" s="23" t="str">
        <f aca="false">IF(OR(J38="",F38="",G38="",H38=""),"",J38*G38/1000*H38/F38)</f>
        <v/>
      </c>
      <c r="O38" s="23" t="str">
        <f aca="false">IF(OR(K38="",F38="",G38="",H38=""),"",K38*G38/1000*H38/F38)</f>
        <v/>
      </c>
      <c r="P38" s="23" t="str">
        <f aca="false">IF(OR(L38="",F38="",G38="",H38=""),"",L38*G38/1000*H38/F38)</f>
        <v/>
      </c>
      <c r="Q38" s="23" t="str">
        <f aca="false">IF(OR(M38="",N38=""),"",(N38/39.1)/(M38/22.99))</f>
        <v/>
      </c>
      <c r="R38" s="14"/>
      <c r="S38" s="14"/>
      <c r="T38" s="14"/>
      <c r="U38" s="14"/>
      <c r="V38" s="14"/>
      <c r="W38" s="14"/>
      <c r="X38" s="14"/>
      <c r="Y38" s="23" t="str">
        <f aca="false">IF(OR(U38="",R38="",S38="",T38=""),"",U38*S38/1000*T38/R38)</f>
        <v/>
      </c>
      <c r="Z38" s="23" t="str">
        <f aca="false">IF(OR(V38="",R38="",S38="",T38=""),"",V38*S38/1000*T38/R38)</f>
        <v/>
      </c>
      <c r="AA38" s="23" t="str">
        <f aca="false">IF(OR(W38="",R38="",S38="",T38=""),"",W38*S38/1000*T38/R38)</f>
        <v/>
      </c>
      <c r="AB38" s="23" t="str">
        <f aca="false">IF(OR(X38="",R38="",S38="",T38=""),"",X38*S38/1000*T38/R38)</f>
        <v/>
      </c>
      <c r="AC38" s="23" t="str">
        <f aca="false">IF(OR(Y38="",Z38=""),"",(Z38/39.1)/(Y38/22.99))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14"/>
      <c r="I39" s="14"/>
      <c r="J39" s="14"/>
      <c r="K39" s="14"/>
      <c r="L39" s="14"/>
      <c r="M39" s="23" t="str">
        <f aca="false">IF(OR(I39="",F39="",G39="",H39=""),"",I39*G39/1000*H39/F39)</f>
        <v/>
      </c>
      <c r="N39" s="23" t="str">
        <f aca="false">IF(OR(J39="",F39="",G39="",H39=""),"",J39*G39/1000*H39/F39)</f>
        <v/>
      </c>
      <c r="O39" s="23" t="str">
        <f aca="false">IF(OR(K39="",F39="",G39="",H39=""),"",K39*G39/1000*H39/F39)</f>
        <v/>
      </c>
      <c r="P39" s="23" t="str">
        <f aca="false">IF(OR(L39="",F39="",G39="",H39=""),"",L39*G39/1000*H39/F39)</f>
        <v/>
      </c>
      <c r="Q39" s="23" t="str">
        <f aca="false">IF(OR(M39="",N39=""),"",(N39/39.1)/(M39/22.99))</f>
        <v/>
      </c>
      <c r="R39" s="14"/>
      <c r="S39" s="14"/>
      <c r="T39" s="14"/>
      <c r="U39" s="14"/>
      <c r="V39" s="14"/>
      <c r="W39" s="14"/>
      <c r="X39" s="14"/>
      <c r="Y39" s="23" t="str">
        <f aca="false">IF(OR(U39="",R39="",S39="",T39=""),"",U39*S39/1000*T39/R39)</f>
        <v/>
      </c>
      <c r="Z39" s="23" t="str">
        <f aca="false">IF(OR(V39="",R39="",S39="",T39=""),"",V39*S39/1000*T39/R39)</f>
        <v/>
      </c>
      <c r="AA39" s="23" t="str">
        <f aca="false">IF(OR(W39="",R39="",S39="",T39=""),"",W39*S39/1000*T39/R39)</f>
        <v/>
      </c>
      <c r="AB39" s="23" t="str">
        <f aca="false">IF(OR(X39="",R39="",S39="",T39=""),"",X39*S39/1000*T39/R39)</f>
        <v/>
      </c>
      <c r="AC39" s="23" t="str">
        <f aca="false">IF(OR(Y39="",Z39=""),"",(Z39/39.1)/(Y39/22.99))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14"/>
      <c r="I40" s="14"/>
      <c r="J40" s="14"/>
      <c r="K40" s="14"/>
      <c r="L40" s="14"/>
      <c r="M40" s="23" t="str">
        <f aca="false">IF(OR(I40="",F40="",G40="",H40=""),"",I40*G40/1000*H40/F40)</f>
        <v/>
      </c>
      <c r="N40" s="23" t="str">
        <f aca="false">IF(OR(J40="",F40="",G40="",H40=""),"",J40*G40/1000*H40/F40)</f>
        <v/>
      </c>
      <c r="O40" s="23" t="str">
        <f aca="false">IF(OR(K40="",F40="",G40="",H40=""),"",K40*G40/1000*H40/F40)</f>
        <v/>
      </c>
      <c r="P40" s="23" t="str">
        <f aca="false">IF(OR(L40="",F40="",G40="",H40=""),"",L40*G40/1000*H40/F40)</f>
        <v/>
      </c>
      <c r="Q40" s="23" t="str">
        <f aca="false">IF(OR(M40="",N40=""),"",(N40/39.1)/(M40/22.99))</f>
        <v/>
      </c>
      <c r="R40" s="14"/>
      <c r="S40" s="14"/>
      <c r="T40" s="14"/>
      <c r="U40" s="14"/>
      <c r="V40" s="14"/>
      <c r="W40" s="14"/>
      <c r="X40" s="14"/>
      <c r="Y40" s="23" t="str">
        <f aca="false">IF(OR(U40="",R40="",S40="",T40=""),"",U40*S40/1000*T40/R40)</f>
        <v/>
      </c>
      <c r="Z40" s="23" t="str">
        <f aca="false">IF(OR(V40="",R40="",S40="",T40=""),"",V40*S40/1000*T40/R40)</f>
        <v/>
      </c>
      <c r="AA40" s="23" t="str">
        <f aca="false">IF(OR(W40="",R40="",S40="",T40=""),"",W40*S40/1000*T40/R40)</f>
        <v/>
      </c>
      <c r="AB40" s="23" t="str">
        <f aca="false">IF(OR(X40="",R40="",S40="",T40=""),"",X40*S40/1000*T40/R40)</f>
        <v/>
      </c>
      <c r="AC40" s="23" t="str">
        <f aca="false">IF(OR(Y40="",Z40=""),"",(Z40/39.1)/(Y40/22.99))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14"/>
      <c r="I41" s="14"/>
      <c r="J41" s="14"/>
      <c r="K41" s="14"/>
      <c r="L41" s="14"/>
      <c r="M41" s="23" t="str">
        <f aca="false">IF(OR(I41="",F41="",G41="",H41=""),"",I41*G41/1000*H41/F41)</f>
        <v/>
      </c>
      <c r="N41" s="23" t="str">
        <f aca="false">IF(OR(J41="",F41="",G41="",H41=""),"",J41*G41/1000*H41/F41)</f>
        <v/>
      </c>
      <c r="O41" s="23" t="str">
        <f aca="false">IF(OR(K41="",F41="",G41="",H41=""),"",K41*G41/1000*H41/F41)</f>
        <v/>
      </c>
      <c r="P41" s="23" t="str">
        <f aca="false">IF(OR(L41="",F41="",G41="",H41=""),"",L41*G41/1000*H41/F41)</f>
        <v/>
      </c>
      <c r="Q41" s="23" t="str">
        <f aca="false">IF(OR(M41="",N41=""),"",(N41/39.1)/(M41/22.99))</f>
        <v/>
      </c>
      <c r="R41" s="14"/>
      <c r="S41" s="14"/>
      <c r="T41" s="14"/>
      <c r="U41" s="14"/>
      <c r="V41" s="14"/>
      <c r="W41" s="14"/>
      <c r="X41" s="14"/>
      <c r="Y41" s="23" t="str">
        <f aca="false">IF(OR(U41="",R41="",S41="",T41=""),"",U41*S41/1000*T41/R41)</f>
        <v/>
      </c>
      <c r="Z41" s="23" t="str">
        <f aca="false">IF(OR(V41="",R41="",S41="",T41=""),"",V41*S41/1000*T41/R41)</f>
        <v/>
      </c>
      <c r="AA41" s="23" t="str">
        <f aca="false">IF(OR(W41="",R41="",S41="",T41=""),"",W41*S41/1000*T41/R41)</f>
        <v/>
      </c>
      <c r="AB41" s="23" t="str">
        <f aca="false">IF(OR(X41="",R41="",S41="",T41=""),"",X41*S41/1000*T41/R41)</f>
        <v/>
      </c>
      <c r="AC41" s="23" t="str">
        <f aca="false">IF(OR(Y41="",Z41=""),"",(Z41/39.1)/(Y41/22.99))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14"/>
      <c r="I42" s="14"/>
      <c r="J42" s="14"/>
      <c r="K42" s="14"/>
      <c r="L42" s="14"/>
      <c r="M42" s="23" t="str">
        <f aca="false">IF(OR(I42="",F42="",G42="",H42=""),"",I42*G42/1000*H42/F42)</f>
        <v/>
      </c>
      <c r="N42" s="23" t="str">
        <f aca="false">IF(OR(J42="",F42="",G42="",H42=""),"",J42*G42/1000*H42/F42)</f>
        <v/>
      </c>
      <c r="O42" s="23" t="str">
        <f aca="false">IF(OR(K42="",F42="",G42="",H42=""),"",K42*G42/1000*H42/F42)</f>
        <v/>
      </c>
      <c r="P42" s="23" t="str">
        <f aca="false">IF(OR(L42="",F42="",G42="",H42=""),"",L42*G42/1000*H42/F42)</f>
        <v/>
      </c>
      <c r="Q42" s="23" t="str">
        <f aca="false">IF(OR(M42="",N42=""),"",(N42/39.1)/(M42/22.99))</f>
        <v/>
      </c>
      <c r="R42" s="14"/>
      <c r="S42" s="14"/>
      <c r="T42" s="14"/>
      <c r="U42" s="14"/>
      <c r="V42" s="14"/>
      <c r="W42" s="14"/>
      <c r="X42" s="14"/>
      <c r="Y42" s="23" t="str">
        <f aca="false">IF(OR(U42="",R42="",S42="",T42=""),"",U42*S42/1000*T42/R42)</f>
        <v/>
      </c>
      <c r="Z42" s="23" t="str">
        <f aca="false">IF(OR(V42="",R42="",S42="",T42=""),"",V42*S42/1000*T42/R42)</f>
        <v/>
      </c>
      <c r="AA42" s="23" t="str">
        <f aca="false">IF(OR(W42="",R42="",S42="",T42=""),"",W42*S42/1000*T42/R42)</f>
        <v/>
      </c>
      <c r="AB42" s="23" t="str">
        <f aca="false">IF(OR(X42="",R42="",S42="",T42=""),"",X42*S42/1000*T42/R42)</f>
        <v/>
      </c>
      <c r="AC42" s="23" t="str">
        <f aca="false">IF(OR(Y42="",Z42=""),"",(Z42/39.1)/(Y42/22.99))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14"/>
      <c r="I43" s="14"/>
      <c r="J43" s="14"/>
      <c r="K43" s="14"/>
      <c r="L43" s="14"/>
      <c r="M43" s="23" t="str">
        <f aca="false">IF(OR(I43="",F43="",G43="",H43=""),"",I43*G43/1000*H43/F43)</f>
        <v/>
      </c>
      <c r="N43" s="23" t="str">
        <f aca="false">IF(OR(J43="",F43="",G43="",H43=""),"",J43*G43/1000*H43/F43)</f>
        <v/>
      </c>
      <c r="O43" s="23" t="str">
        <f aca="false">IF(OR(K43="",F43="",G43="",H43=""),"",K43*G43/1000*H43/F43)</f>
        <v/>
      </c>
      <c r="P43" s="23" t="str">
        <f aca="false">IF(OR(L43="",F43="",G43="",H43=""),"",L43*G43/1000*H43/F43)</f>
        <v/>
      </c>
      <c r="Q43" s="23" t="str">
        <f aca="false">IF(OR(M43="",N43=""),"",(N43/39.1)/(M43/22.99))</f>
        <v/>
      </c>
      <c r="R43" s="14"/>
      <c r="S43" s="14"/>
      <c r="T43" s="14"/>
      <c r="U43" s="14"/>
      <c r="V43" s="14"/>
      <c r="W43" s="14"/>
      <c r="X43" s="14"/>
      <c r="Y43" s="23" t="str">
        <f aca="false">IF(OR(U43="",R43="",S43="",T43=""),"",U43*S43/1000*T43/R43)</f>
        <v/>
      </c>
      <c r="Z43" s="23" t="str">
        <f aca="false">IF(OR(V43="",R43="",S43="",T43=""),"",V43*S43/1000*T43/R43)</f>
        <v/>
      </c>
      <c r="AA43" s="23" t="str">
        <f aca="false">IF(OR(W43="",R43="",S43="",T43=""),"",W43*S43/1000*T43/R43)</f>
        <v/>
      </c>
      <c r="AB43" s="23" t="str">
        <f aca="false">IF(OR(X43="",R43="",S43="",T43=""),"",X43*S43/1000*T43/R43)</f>
        <v/>
      </c>
      <c r="AC43" s="23" t="str">
        <f aca="false">IF(OR(Y43="",Z43=""),"",(Z43/39.1)/(Y43/22.99))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14"/>
      <c r="I44" s="14"/>
      <c r="J44" s="14"/>
      <c r="K44" s="14"/>
      <c r="L44" s="14"/>
      <c r="M44" s="23" t="str">
        <f aca="false">IF(OR(I44="",F44="",G44="",H44=""),"",I44*G44/1000*H44/F44)</f>
        <v/>
      </c>
      <c r="N44" s="23" t="str">
        <f aca="false">IF(OR(J44="",F44="",G44="",H44=""),"",J44*G44/1000*H44/F44)</f>
        <v/>
      </c>
      <c r="O44" s="23" t="str">
        <f aca="false">IF(OR(K44="",F44="",G44="",H44=""),"",K44*G44/1000*H44/F44)</f>
        <v/>
      </c>
      <c r="P44" s="23" t="str">
        <f aca="false">IF(OR(L44="",F44="",G44="",H44=""),"",L44*G44/1000*H44/F44)</f>
        <v/>
      </c>
      <c r="Q44" s="23" t="str">
        <f aca="false">IF(OR(M44="",N44=""),"",(N44/39.1)/(M44/22.99))</f>
        <v/>
      </c>
      <c r="R44" s="14"/>
      <c r="S44" s="14"/>
      <c r="T44" s="14"/>
      <c r="U44" s="14"/>
      <c r="V44" s="14"/>
      <c r="W44" s="14"/>
      <c r="X44" s="14"/>
      <c r="Y44" s="23" t="str">
        <f aca="false">IF(OR(U44="",R44="",S44="",T44=""),"",U44*S44/1000*T44/R44)</f>
        <v/>
      </c>
      <c r="Z44" s="23" t="str">
        <f aca="false">IF(OR(V44="",R44="",S44="",T44=""),"",V44*S44/1000*T44/R44)</f>
        <v/>
      </c>
      <c r="AA44" s="23" t="str">
        <f aca="false">IF(OR(W44="",R44="",S44="",T44=""),"",W44*S44/1000*T44/R44)</f>
        <v/>
      </c>
      <c r="AB44" s="23" t="str">
        <f aca="false">IF(OR(X44="",R44="",S44="",T44=""),"",X44*S44/1000*T44/R44)</f>
        <v/>
      </c>
      <c r="AC44" s="23" t="str">
        <f aca="false">IF(OR(Y44="",Z44=""),"",(Z44/39.1)/(Y44/22.99))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14"/>
      <c r="I45" s="14"/>
      <c r="J45" s="14"/>
      <c r="K45" s="14"/>
      <c r="L45" s="14"/>
      <c r="M45" s="23" t="str">
        <f aca="false">IF(OR(I45="",F45="",G45="",H45=""),"",I45*G45/1000*H45/F45)</f>
        <v/>
      </c>
      <c r="N45" s="23" t="str">
        <f aca="false">IF(OR(J45="",F45="",G45="",H45=""),"",J45*G45/1000*H45/F45)</f>
        <v/>
      </c>
      <c r="O45" s="23" t="str">
        <f aca="false">IF(OR(K45="",F45="",G45="",H45=""),"",K45*G45/1000*H45/F45)</f>
        <v/>
      </c>
      <c r="P45" s="23" t="str">
        <f aca="false">IF(OR(L45="",F45="",G45="",H45=""),"",L45*G45/1000*H45/F45)</f>
        <v/>
      </c>
      <c r="Q45" s="23" t="str">
        <f aca="false">IF(OR(M45="",N45=""),"",(N45/39.1)/(M45/22.99))</f>
        <v/>
      </c>
      <c r="R45" s="14"/>
      <c r="S45" s="14"/>
      <c r="T45" s="14"/>
      <c r="U45" s="14"/>
      <c r="V45" s="14"/>
      <c r="W45" s="14"/>
      <c r="X45" s="14"/>
      <c r="Y45" s="23" t="str">
        <f aca="false">IF(OR(U45="",R45="",S45="",T45=""),"",U45*S45/1000*T45/R45)</f>
        <v/>
      </c>
      <c r="Z45" s="23" t="str">
        <f aca="false">IF(OR(V45="",R45="",S45="",T45=""),"",V45*S45/1000*T45/R45)</f>
        <v/>
      </c>
      <c r="AA45" s="23" t="str">
        <f aca="false">IF(OR(W45="",R45="",S45="",T45=""),"",W45*S45/1000*T45/R45)</f>
        <v/>
      </c>
      <c r="AB45" s="23" t="str">
        <f aca="false">IF(OR(X45="",R45="",S45="",T45=""),"",X45*S45/1000*T45/R45)</f>
        <v/>
      </c>
      <c r="AC45" s="23" t="str">
        <f aca="false">IF(OR(Y45="",Z45=""),"",(Z45/39.1)/(Y45/22.99))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14"/>
      <c r="I46" s="14"/>
      <c r="J46" s="14"/>
      <c r="K46" s="14"/>
      <c r="L46" s="14"/>
      <c r="M46" s="23" t="str">
        <f aca="false">IF(OR(I46="",F46="",G46="",H46=""),"",I46*G46/1000*H46/F46)</f>
        <v/>
      </c>
      <c r="N46" s="23" t="str">
        <f aca="false">IF(OR(J46="",F46="",G46="",H46=""),"",J46*G46/1000*H46/F46)</f>
        <v/>
      </c>
      <c r="O46" s="23" t="str">
        <f aca="false">IF(OR(K46="",F46="",G46="",H46=""),"",K46*G46/1000*H46/F46)</f>
        <v/>
      </c>
      <c r="P46" s="23" t="str">
        <f aca="false">IF(OR(L46="",F46="",G46="",H46=""),"",L46*G46/1000*H46/F46)</f>
        <v/>
      </c>
      <c r="Q46" s="23" t="str">
        <f aca="false">IF(OR(M46="",N46=""),"",(N46/39.1)/(M46/22.99))</f>
        <v/>
      </c>
      <c r="R46" s="14"/>
      <c r="S46" s="14"/>
      <c r="T46" s="14"/>
      <c r="U46" s="14"/>
      <c r="V46" s="14"/>
      <c r="W46" s="14"/>
      <c r="X46" s="14"/>
      <c r="Y46" s="23" t="str">
        <f aca="false">IF(OR(U46="",R46="",S46="",T46=""),"",U46*S46/1000*T46/R46)</f>
        <v/>
      </c>
      <c r="Z46" s="23" t="str">
        <f aca="false">IF(OR(V46="",R46="",S46="",T46=""),"",V46*S46/1000*T46/R46)</f>
        <v/>
      </c>
      <c r="AA46" s="23" t="str">
        <f aca="false">IF(OR(W46="",R46="",S46="",T46=""),"",W46*S46/1000*T46/R46)</f>
        <v/>
      </c>
      <c r="AB46" s="23" t="str">
        <f aca="false">IF(OR(X46="",R46="",S46="",T46=""),"",X46*S46/1000*T46/R46)</f>
        <v/>
      </c>
      <c r="AC46" s="23" t="str">
        <f aca="false">IF(OR(Y46="",Z46=""),"",(Z46/39.1)/(Y46/22.99))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14"/>
      <c r="I47" s="14"/>
      <c r="J47" s="14"/>
      <c r="K47" s="14"/>
      <c r="L47" s="14"/>
      <c r="M47" s="23" t="str">
        <f aca="false">IF(OR(I47="",F47="",G47="",H47=""),"",I47*G47/1000*H47/F47)</f>
        <v/>
      </c>
      <c r="N47" s="23" t="str">
        <f aca="false">IF(OR(J47="",F47="",G47="",H47=""),"",J47*G47/1000*H47/F47)</f>
        <v/>
      </c>
      <c r="O47" s="23" t="str">
        <f aca="false">IF(OR(K47="",F47="",G47="",H47=""),"",K47*G47/1000*H47/F47)</f>
        <v/>
      </c>
      <c r="P47" s="23" t="str">
        <f aca="false">IF(OR(L47="",F47="",G47="",H47=""),"",L47*G47/1000*H47/F47)</f>
        <v/>
      </c>
      <c r="Q47" s="23" t="str">
        <f aca="false">IF(OR(M47="",N47=""),"",(N47/39.1)/(M47/22.99))</f>
        <v/>
      </c>
      <c r="R47" s="14"/>
      <c r="S47" s="14"/>
      <c r="T47" s="14"/>
      <c r="U47" s="14"/>
      <c r="V47" s="14"/>
      <c r="W47" s="14"/>
      <c r="X47" s="14"/>
      <c r="Y47" s="23" t="str">
        <f aca="false">IF(OR(U47="",R47="",S47="",T47=""),"",U47*S47/1000*T47/R47)</f>
        <v/>
      </c>
      <c r="Z47" s="23" t="str">
        <f aca="false">IF(OR(V47="",R47="",S47="",T47=""),"",V47*S47/1000*T47/R47)</f>
        <v/>
      </c>
      <c r="AA47" s="23" t="str">
        <f aca="false">IF(OR(W47="",R47="",S47="",T47=""),"",W47*S47/1000*T47/R47)</f>
        <v/>
      </c>
      <c r="AB47" s="23" t="str">
        <f aca="false">IF(OR(X47="",R47="",S47="",T47=""),"",X47*S47/1000*T47/R47)</f>
        <v/>
      </c>
      <c r="AC47" s="23" t="str">
        <f aca="false">IF(OR(Y47="",Z47=""),"",(Z47/39.1)/(Y47/22.99))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14"/>
      <c r="I48" s="14"/>
      <c r="J48" s="14"/>
      <c r="K48" s="14"/>
      <c r="L48" s="14"/>
      <c r="M48" s="23" t="str">
        <f aca="false">IF(OR(I48="",F48="",G48="",H48=""),"",I48*G48/1000*H48/F48)</f>
        <v/>
      </c>
      <c r="N48" s="23" t="str">
        <f aca="false">IF(OR(J48="",F48="",G48="",H48=""),"",J48*G48/1000*H48/F48)</f>
        <v/>
      </c>
      <c r="O48" s="23" t="str">
        <f aca="false">IF(OR(K48="",F48="",G48="",H48=""),"",K48*G48/1000*H48/F48)</f>
        <v/>
      </c>
      <c r="P48" s="23" t="str">
        <f aca="false">IF(OR(L48="",F48="",G48="",H48=""),"",L48*G48/1000*H48/F48)</f>
        <v/>
      </c>
      <c r="Q48" s="23" t="str">
        <f aca="false">IF(OR(M48="",N48=""),"",(N48/39.1)/(M48/22.99))</f>
        <v/>
      </c>
      <c r="R48" s="14"/>
      <c r="S48" s="14"/>
      <c r="T48" s="14"/>
      <c r="U48" s="14"/>
      <c r="V48" s="14"/>
      <c r="W48" s="14"/>
      <c r="X48" s="14"/>
      <c r="Y48" s="23" t="str">
        <f aca="false">IF(OR(U48="",R48="",S48="",T48=""),"",U48*S48/1000*T48/R48)</f>
        <v/>
      </c>
      <c r="Z48" s="23" t="str">
        <f aca="false">IF(OR(V48="",R48="",S48="",T48=""),"",V48*S48/1000*T48/R48)</f>
        <v/>
      </c>
      <c r="AA48" s="23" t="str">
        <f aca="false">IF(OR(W48="",R48="",S48="",T48=""),"",W48*S48/1000*T48/R48)</f>
        <v/>
      </c>
      <c r="AB48" s="23" t="str">
        <f aca="false">IF(OR(X48="",R48="",S48="",T48=""),"",X48*S48/1000*T48/R48)</f>
        <v/>
      </c>
      <c r="AC48" s="23" t="str">
        <f aca="false">IF(OR(Y48="",Z48=""),"",(Z48/39.1)/(Y48/22.99))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14"/>
      <c r="I49" s="14"/>
      <c r="J49" s="14"/>
      <c r="K49" s="14"/>
      <c r="L49" s="14"/>
      <c r="M49" s="23" t="str">
        <f aca="false">IF(OR(I49="",F49="",G49="",H49=""),"",I49*G49/1000*H49/F49)</f>
        <v/>
      </c>
      <c r="N49" s="23" t="str">
        <f aca="false">IF(OR(J49="",F49="",G49="",H49=""),"",J49*G49/1000*H49/F49)</f>
        <v/>
      </c>
      <c r="O49" s="23" t="str">
        <f aca="false">IF(OR(K49="",F49="",G49="",H49=""),"",K49*G49/1000*H49/F49)</f>
        <v/>
      </c>
      <c r="P49" s="23" t="str">
        <f aca="false">IF(OR(L49="",F49="",G49="",H49=""),"",L49*G49/1000*H49/F49)</f>
        <v/>
      </c>
      <c r="Q49" s="23" t="str">
        <f aca="false">IF(OR(M49="",N49=""),"",(N49/39.1)/(M49/22.99))</f>
        <v/>
      </c>
      <c r="R49" s="14"/>
      <c r="S49" s="14"/>
      <c r="T49" s="14"/>
      <c r="U49" s="14"/>
      <c r="V49" s="14"/>
      <c r="W49" s="14"/>
      <c r="X49" s="14"/>
      <c r="Y49" s="23" t="str">
        <f aca="false">IF(OR(U49="",R49="",S49="",T49=""),"",U49*S49/1000*T49/R49)</f>
        <v/>
      </c>
      <c r="Z49" s="23" t="str">
        <f aca="false">IF(OR(V49="",R49="",S49="",T49=""),"",V49*S49/1000*T49/R49)</f>
        <v/>
      </c>
      <c r="AA49" s="23" t="str">
        <f aca="false">IF(OR(W49="",R49="",S49="",T49=""),"",W49*S49/1000*T49/R49)</f>
        <v/>
      </c>
      <c r="AB49" s="23" t="str">
        <f aca="false">IF(OR(X49="",R49="",S49="",T49=""),"",X49*S49/1000*T49/R49)</f>
        <v/>
      </c>
      <c r="AC49" s="23" t="str">
        <f aca="false">IF(OR(Y49="",Z49=""),"",(Z49/39.1)/(Y49/22.99))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14"/>
      <c r="I50" s="14"/>
      <c r="J50" s="14"/>
      <c r="K50" s="14"/>
      <c r="L50" s="14"/>
      <c r="M50" s="23" t="str">
        <f aca="false">IF(OR(I50="",F50="",G50="",H50=""),"",I50*G50/1000*H50/F50)</f>
        <v/>
      </c>
      <c r="N50" s="23" t="str">
        <f aca="false">IF(OR(J50="",F50="",G50="",H50=""),"",J50*G50/1000*H50/F50)</f>
        <v/>
      </c>
      <c r="O50" s="23" t="str">
        <f aca="false">IF(OR(K50="",F50="",G50="",H50=""),"",K50*G50/1000*H50/F50)</f>
        <v/>
      </c>
      <c r="P50" s="23" t="str">
        <f aca="false">IF(OR(L50="",F50="",G50="",H50=""),"",L50*G50/1000*H50/F50)</f>
        <v/>
      </c>
      <c r="Q50" s="23" t="str">
        <f aca="false">IF(OR(M50="",N50=""),"",(N50/39.1)/(M50/22.99))</f>
        <v/>
      </c>
      <c r="R50" s="14"/>
      <c r="S50" s="14"/>
      <c r="T50" s="14"/>
      <c r="U50" s="14"/>
      <c r="V50" s="14"/>
      <c r="W50" s="14"/>
      <c r="X50" s="14"/>
      <c r="Y50" s="23" t="str">
        <f aca="false">IF(OR(U50="",R50="",S50="",T50=""),"",U50*S50/1000*T50/R50)</f>
        <v/>
      </c>
      <c r="Z50" s="23" t="str">
        <f aca="false">IF(OR(V50="",R50="",S50="",T50=""),"",V50*S50/1000*T50/R50)</f>
        <v/>
      </c>
      <c r="AA50" s="23" t="str">
        <f aca="false">IF(OR(W50="",R50="",S50="",T50=""),"",W50*S50/1000*T50/R50)</f>
        <v/>
      </c>
      <c r="AB50" s="23" t="str">
        <f aca="false">IF(OR(X50="",R50="",S50="",T50=""),"",X50*S50/1000*T50/R50)</f>
        <v/>
      </c>
      <c r="AC50" s="23" t="str">
        <f aca="false">IF(OR(Y50="",Z50=""),"",(Z50/39.1)/(Y50/22.99))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14"/>
      <c r="I51" s="14"/>
      <c r="J51" s="14"/>
      <c r="K51" s="14"/>
      <c r="L51" s="14"/>
      <c r="M51" s="23" t="str">
        <f aca="false">IF(OR(I51="",F51="",G51="",H51=""),"",I51*G51/1000*H51/F51)</f>
        <v/>
      </c>
      <c r="N51" s="23" t="str">
        <f aca="false">IF(OR(J51="",F51="",G51="",H51=""),"",J51*G51/1000*H51/F51)</f>
        <v/>
      </c>
      <c r="O51" s="23" t="str">
        <f aca="false">IF(OR(K51="",F51="",G51="",H51=""),"",K51*G51/1000*H51/F51)</f>
        <v/>
      </c>
      <c r="P51" s="23" t="str">
        <f aca="false">IF(OR(L51="",F51="",G51="",H51=""),"",L51*G51/1000*H51/F51)</f>
        <v/>
      </c>
      <c r="Q51" s="23" t="str">
        <f aca="false">IF(OR(M51="",N51=""),"",(N51/39.1)/(M51/22.99))</f>
        <v/>
      </c>
      <c r="R51" s="14"/>
      <c r="S51" s="14"/>
      <c r="T51" s="14"/>
      <c r="U51" s="14"/>
      <c r="V51" s="14"/>
      <c r="W51" s="14"/>
      <c r="X51" s="14"/>
      <c r="Y51" s="23" t="str">
        <f aca="false">IF(OR(U51="",R51="",S51="",T51=""),"",U51*S51/1000*T51/R51)</f>
        <v/>
      </c>
      <c r="Z51" s="23" t="str">
        <f aca="false">IF(OR(V51="",R51="",S51="",T51=""),"",V51*S51/1000*T51/R51)</f>
        <v/>
      </c>
      <c r="AA51" s="23" t="str">
        <f aca="false">IF(OR(W51="",R51="",S51="",T51=""),"",W51*S51/1000*T51/R51)</f>
        <v/>
      </c>
      <c r="AB51" s="23" t="str">
        <f aca="false">IF(OR(X51="",R51="",S51="",T51=""),"",X51*S51/1000*T51/R51)</f>
        <v/>
      </c>
      <c r="AC51" s="23" t="str">
        <f aca="false">IF(OR(Y51="",Z51=""),"",(Z51/39.1)/(Y51/22.99))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14"/>
      <c r="I52" s="14"/>
      <c r="J52" s="14"/>
      <c r="K52" s="14"/>
      <c r="L52" s="14"/>
      <c r="M52" s="23" t="str">
        <f aca="false">IF(OR(I52="",F52="",G52="",H52=""),"",I52*G52/1000*H52/F52)</f>
        <v/>
      </c>
      <c r="N52" s="23" t="str">
        <f aca="false">IF(OR(J52="",F52="",G52="",H52=""),"",J52*G52/1000*H52/F52)</f>
        <v/>
      </c>
      <c r="O52" s="23" t="str">
        <f aca="false">IF(OR(K52="",F52="",G52="",H52=""),"",K52*G52/1000*H52/F52)</f>
        <v/>
      </c>
      <c r="P52" s="23" t="str">
        <f aca="false">IF(OR(L52="",F52="",G52="",H52=""),"",L52*G52/1000*H52/F52)</f>
        <v/>
      </c>
      <c r="Q52" s="23" t="str">
        <f aca="false">IF(OR(M52="",N52=""),"",(N52/39.1)/(M52/22.99))</f>
        <v/>
      </c>
      <c r="R52" s="14"/>
      <c r="S52" s="14"/>
      <c r="T52" s="14"/>
      <c r="U52" s="14"/>
      <c r="V52" s="14"/>
      <c r="W52" s="14"/>
      <c r="X52" s="14"/>
      <c r="Y52" s="23" t="str">
        <f aca="false">IF(OR(U52="",R52="",S52="",T52=""),"",U52*S52/1000*T52/R52)</f>
        <v/>
      </c>
      <c r="Z52" s="23" t="str">
        <f aca="false">IF(OR(V52="",R52="",S52="",T52=""),"",V52*S52/1000*T52/R52)</f>
        <v/>
      </c>
      <c r="AA52" s="23" t="str">
        <f aca="false">IF(OR(W52="",R52="",S52="",T52=""),"",W52*S52/1000*T52/R52)</f>
        <v/>
      </c>
      <c r="AB52" s="23" t="str">
        <f aca="false">IF(OR(X52="",R52="",S52="",T52=""),"",X52*S52/1000*T52/R52)</f>
        <v/>
      </c>
      <c r="AC52" s="23" t="str">
        <f aca="false">IF(OR(Y52="",Z52=""),"",(Z52/39.1)/(Y52/22.99))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14"/>
      <c r="I53" s="14"/>
      <c r="J53" s="14"/>
      <c r="K53" s="14"/>
      <c r="L53" s="14"/>
      <c r="M53" s="23" t="str">
        <f aca="false">IF(OR(I53="",F53="",G53="",H53=""),"",I53*G53/1000*H53/F53)</f>
        <v/>
      </c>
      <c r="N53" s="23" t="str">
        <f aca="false">IF(OR(J53="",F53="",G53="",H53=""),"",J53*G53/1000*H53/F53)</f>
        <v/>
      </c>
      <c r="O53" s="23" t="str">
        <f aca="false">IF(OR(K53="",F53="",G53="",H53=""),"",K53*G53/1000*H53/F53)</f>
        <v/>
      </c>
      <c r="P53" s="23" t="str">
        <f aca="false">IF(OR(L53="",F53="",G53="",H53=""),"",L53*G53/1000*H53/F53)</f>
        <v/>
      </c>
      <c r="Q53" s="23" t="str">
        <f aca="false">IF(OR(M53="",N53=""),"",(N53/39.1)/(M53/22.99))</f>
        <v/>
      </c>
      <c r="R53" s="14"/>
      <c r="S53" s="14"/>
      <c r="T53" s="14"/>
      <c r="U53" s="14"/>
      <c r="V53" s="14"/>
      <c r="W53" s="14"/>
      <c r="X53" s="14"/>
      <c r="Y53" s="23" t="str">
        <f aca="false">IF(OR(U53="",R53="",S53="",T53=""),"",U53*S53/1000*T53/R53)</f>
        <v/>
      </c>
      <c r="Z53" s="23" t="str">
        <f aca="false">IF(OR(V53="",R53="",S53="",T53=""),"",V53*S53/1000*T53/R53)</f>
        <v/>
      </c>
      <c r="AA53" s="23" t="str">
        <f aca="false">IF(OR(W53="",R53="",S53="",T53=""),"",W53*S53/1000*T53/R53)</f>
        <v/>
      </c>
      <c r="AB53" s="23" t="str">
        <f aca="false">IF(OR(X53="",R53="",S53="",T53=""),"",X53*S53/1000*T53/R53)</f>
        <v/>
      </c>
      <c r="AC53" s="23" t="str">
        <f aca="false">IF(OR(Y53="",Z53=""),"",(Z53/39.1)/(Y53/22.99))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14"/>
      <c r="I54" s="14"/>
      <c r="J54" s="14"/>
      <c r="K54" s="14"/>
      <c r="L54" s="14"/>
      <c r="M54" s="23" t="str">
        <f aca="false">IF(OR(I54="",F54="",G54="",H54=""),"",I54*G54/1000*H54/F54)</f>
        <v/>
      </c>
      <c r="N54" s="23" t="str">
        <f aca="false">IF(OR(J54="",F54="",G54="",H54=""),"",J54*G54/1000*H54/F54)</f>
        <v/>
      </c>
      <c r="O54" s="23" t="str">
        <f aca="false">IF(OR(K54="",F54="",G54="",H54=""),"",K54*G54/1000*H54/F54)</f>
        <v/>
      </c>
      <c r="P54" s="23" t="str">
        <f aca="false">IF(OR(L54="",F54="",G54="",H54=""),"",L54*G54/1000*H54/F54)</f>
        <v/>
      </c>
      <c r="Q54" s="23" t="str">
        <f aca="false">IF(OR(M54="",N54=""),"",(N54/39.1)/(M54/22.99))</f>
        <v/>
      </c>
      <c r="R54" s="14"/>
      <c r="S54" s="14"/>
      <c r="T54" s="14"/>
      <c r="U54" s="14"/>
      <c r="V54" s="14"/>
      <c r="W54" s="14"/>
      <c r="X54" s="14"/>
      <c r="Y54" s="23" t="str">
        <f aca="false">IF(OR(U54="",R54="",S54="",T54=""),"",U54*S54/1000*T54/R54)</f>
        <v/>
      </c>
      <c r="Z54" s="23" t="str">
        <f aca="false">IF(OR(V54="",R54="",S54="",T54=""),"",V54*S54/1000*T54/R54)</f>
        <v/>
      </c>
      <c r="AA54" s="23" t="str">
        <f aca="false">IF(OR(W54="",R54="",S54="",T54=""),"",W54*S54/1000*T54/R54)</f>
        <v/>
      </c>
      <c r="AB54" s="23" t="str">
        <f aca="false">IF(OR(X54="",R54="",S54="",T54=""),"",X54*S54/1000*T54/R54)</f>
        <v/>
      </c>
      <c r="AC54" s="23" t="str">
        <f aca="false">IF(OR(Y54="",Z54=""),"",(Z54/39.1)/(Y54/22.99))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14"/>
      <c r="I55" s="14"/>
      <c r="J55" s="14"/>
      <c r="K55" s="14"/>
      <c r="L55" s="14"/>
      <c r="M55" s="23" t="str">
        <f aca="false">IF(OR(I55="",F55="",G55="",H55=""),"",I55*G55/1000*H55/F55)</f>
        <v/>
      </c>
      <c r="N55" s="23" t="str">
        <f aca="false">IF(OR(J55="",F55="",G55="",H55=""),"",J55*G55/1000*H55/F55)</f>
        <v/>
      </c>
      <c r="O55" s="23" t="str">
        <f aca="false">IF(OR(K55="",F55="",G55="",H55=""),"",K55*G55/1000*H55/F55)</f>
        <v/>
      </c>
      <c r="P55" s="23" t="str">
        <f aca="false">IF(OR(L55="",F55="",G55="",H55=""),"",L55*G55/1000*H55/F55)</f>
        <v/>
      </c>
      <c r="Q55" s="23" t="str">
        <f aca="false">IF(OR(M55="",N55=""),"",(N55/39.1)/(M55/22.99))</f>
        <v/>
      </c>
      <c r="R55" s="14"/>
      <c r="S55" s="14"/>
      <c r="T55" s="14"/>
      <c r="U55" s="14"/>
      <c r="V55" s="14"/>
      <c r="W55" s="14"/>
      <c r="X55" s="14"/>
      <c r="Y55" s="23" t="str">
        <f aca="false">IF(OR(U55="",R55="",S55="",T55=""),"",U55*S55/1000*T55/R55)</f>
        <v/>
      </c>
      <c r="Z55" s="23" t="str">
        <f aca="false">IF(OR(V55="",R55="",S55="",T55=""),"",V55*S55/1000*T55/R55)</f>
        <v/>
      </c>
      <c r="AA55" s="23" t="str">
        <f aca="false">IF(OR(W55="",R55="",S55="",T55=""),"",W55*S55/1000*T55/R55)</f>
        <v/>
      </c>
      <c r="AB55" s="23" t="str">
        <f aca="false">IF(OR(X55="",R55="",S55="",T55=""),"",X55*S55/1000*T55/R55)</f>
        <v/>
      </c>
      <c r="AC55" s="23" t="str">
        <f aca="false">IF(OR(Y55="",Z55=""),"",(Z55/39.1)/(Y55/22.99))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14"/>
      <c r="I56" s="14"/>
      <c r="J56" s="14"/>
      <c r="K56" s="14"/>
      <c r="L56" s="14"/>
      <c r="M56" s="23" t="str">
        <f aca="false">IF(OR(I56="",F56="",G56="",H56=""),"",I56*G56/1000*H56/F56)</f>
        <v/>
      </c>
      <c r="N56" s="23" t="str">
        <f aca="false">IF(OR(J56="",F56="",G56="",H56=""),"",J56*G56/1000*H56/F56)</f>
        <v/>
      </c>
      <c r="O56" s="23" t="str">
        <f aca="false">IF(OR(K56="",F56="",G56="",H56=""),"",K56*G56/1000*H56/F56)</f>
        <v/>
      </c>
      <c r="P56" s="23" t="str">
        <f aca="false">IF(OR(L56="",F56="",G56="",H56=""),"",L56*G56/1000*H56/F56)</f>
        <v/>
      </c>
      <c r="Q56" s="23" t="str">
        <f aca="false">IF(OR(M56="",N56=""),"",(N56/39.1)/(M56/22.99))</f>
        <v/>
      </c>
      <c r="R56" s="14"/>
      <c r="S56" s="14"/>
      <c r="T56" s="14"/>
      <c r="U56" s="14"/>
      <c r="V56" s="14"/>
      <c r="W56" s="14"/>
      <c r="X56" s="14"/>
      <c r="Y56" s="23" t="str">
        <f aca="false">IF(OR(U56="",R56="",S56="",T56=""),"",U56*S56/1000*T56/R56)</f>
        <v/>
      </c>
      <c r="Z56" s="23" t="str">
        <f aca="false">IF(OR(V56="",R56="",S56="",T56=""),"",V56*S56/1000*T56/R56)</f>
        <v/>
      </c>
      <c r="AA56" s="23" t="str">
        <f aca="false">IF(OR(W56="",R56="",S56="",T56=""),"",W56*S56/1000*T56/R56)</f>
        <v/>
      </c>
      <c r="AB56" s="23" t="str">
        <f aca="false">IF(OR(X56="",R56="",S56="",T56=""),"",X56*S56/1000*T56/R56)</f>
        <v/>
      </c>
      <c r="AC56" s="23" t="str">
        <f aca="false">IF(OR(Y56="",Z56=""),"",(Z56/39.1)/(Y56/22.99))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14"/>
      <c r="I57" s="14"/>
      <c r="J57" s="14"/>
      <c r="K57" s="14"/>
      <c r="L57" s="14"/>
      <c r="M57" s="23" t="str">
        <f aca="false">IF(OR(I57="",F57="",G57="",H57=""),"",I57*G57/1000*H57/F57)</f>
        <v/>
      </c>
      <c r="N57" s="23" t="str">
        <f aca="false">IF(OR(J57="",F57="",G57="",H57=""),"",J57*G57/1000*H57/F57)</f>
        <v/>
      </c>
      <c r="O57" s="23" t="str">
        <f aca="false">IF(OR(K57="",F57="",G57="",H57=""),"",K57*G57/1000*H57/F57)</f>
        <v/>
      </c>
      <c r="P57" s="23" t="str">
        <f aca="false">IF(OR(L57="",F57="",G57="",H57=""),"",L57*G57/1000*H57/F57)</f>
        <v/>
      </c>
      <c r="Q57" s="23" t="str">
        <f aca="false">IF(OR(M57="",N57=""),"",(N57/39.1)/(M57/22.99))</f>
        <v/>
      </c>
      <c r="R57" s="14"/>
      <c r="S57" s="14"/>
      <c r="T57" s="14"/>
      <c r="U57" s="14"/>
      <c r="V57" s="14"/>
      <c r="W57" s="14"/>
      <c r="X57" s="14"/>
      <c r="Y57" s="23" t="str">
        <f aca="false">IF(OR(U57="",R57="",S57="",T57=""),"",U57*S57/1000*T57/R57)</f>
        <v/>
      </c>
      <c r="Z57" s="23" t="str">
        <f aca="false">IF(OR(V57="",R57="",S57="",T57=""),"",V57*S57/1000*T57/R57)</f>
        <v/>
      </c>
      <c r="AA57" s="23" t="str">
        <f aca="false">IF(OR(W57="",R57="",S57="",T57=""),"",W57*S57/1000*T57/R57)</f>
        <v/>
      </c>
      <c r="AB57" s="23" t="str">
        <f aca="false">IF(OR(X57="",R57="",S57="",T57=""),"",X57*S57/1000*T57/R57)</f>
        <v/>
      </c>
      <c r="AC57" s="23" t="str">
        <f aca="false">IF(OR(Y57="",Z57=""),"",(Z57/39.1)/(Y57/22.99))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14"/>
      <c r="I58" s="14"/>
      <c r="J58" s="14"/>
      <c r="K58" s="14"/>
      <c r="L58" s="14"/>
      <c r="M58" s="23" t="str">
        <f aca="false">IF(OR(I58="",F58="",G58="",H58=""),"",I58*G58/1000*H58/F58)</f>
        <v/>
      </c>
      <c r="N58" s="23" t="str">
        <f aca="false">IF(OR(J58="",F58="",G58="",H58=""),"",J58*G58/1000*H58/F58)</f>
        <v/>
      </c>
      <c r="O58" s="23" t="str">
        <f aca="false">IF(OR(K58="",F58="",G58="",H58=""),"",K58*G58/1000*H58/F58)</f>
        <v/>
      </c>
      <c r="P58" s="23" t="str">
        <f aca="false">IF(OR(L58="",F58="",G58="",H58=""),"",L58*G58/1000*H58/F58)</f>
        <v/>
      </c>
      <c r="Q58" s="23" t="str">
        <f aca="false">IF(OR(M58="",N58=""),"",(N58/39.1)/(M58/22.99))</f>
        <v/>
      </c>
      <c r="R58" s="14"/>
      <c r="S58" s="14"/>
      <c r="T58" s="14"/>
      <c r="U58" s="14"/>
      <c r="V58" s="14"/>
      <c r="W58" s="14"/>
      <c r="X58" s="14"/>
      <c r="Y58" s="23" t="str">
        <f aca="false">IF(OR(U58="",R58="",S58="",T58=""),"",U58*S58/1000*T58/R58)</f>
        <v/>
      </c>
      <c r="Z58" s="23" t="str">
        <f aca="false">IF(OR(V58="",R58="",S58="",T58=""),"",V58*S58/1000*T58/R58)</f>
        <v/>
      </c>
      <c r="AA58" s="23" t="str">
        <f aca="false">IF(OR(W58="",R58="",S58="",T58=""),"",W58*S58/1000*T58/R58)</f>
        <v/>
      </c>
      <c r="AB58" s="23" t="str">
        <f aca="false">IF(OR(X58="",R58="",S58="",T58=""),"",X58*S58/1000*T58/R58)</f>
        <v/>
      </c>
      <c r="AC58" s="23" t="str">
        <f aca="false">IF(OR(Y58="",Z58=""),"",(Z58/39.1)/(Y58/22.99))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14"/>
      <c r="I59" s="14"/>
      <c r="J59" s="14"/>
      <c r="K59" s="14"/>
      <c r="L59" s="14"/>
      <c r="M59" s="23" t="str">
        <f aca="false">IF(OR(I59="",F59="",G59="",H59=""),"",I59*G59/1000*H59/F59)</f>
        <v/>
      </c>
      <c r="N59" s="23" t="str">
        <f aca="false">IF(OR(J59="",F59="",G59="",H59=""),"",J59*G59/1000*H59/F59)</f>
        <v/>
      </c>
      <c r="O59" s="23" t="str">
        <f aca="false">IF(OR(K59="",F59="",G59="",H59=""),"",K59*G59/1000*H59/F59)</f>
        <v/>
      </c>
      <c r="P59" s="23" t="str">
        <f aca="false">IF(OR(L59="",F59="",G59="",H59=""),"",L59*G59/1000*H59/F59)</f>
        <v/>
      </c>
      <c r="Q59" s="23" t="str">
        <f aca="false">IF(OR(M59="",N59=""),"",(N59/39.1)/(M59/22.99))</f>
        <v/>
      </c>
      <c r="R59" s="14"/>
      <c r="S59" s="14"/>
      <c r="T59" s="14"/>
      <c r="U59" s="14"/>
      <c r="V59" s="14"/>
      <c r="W59" s="14"/>
      <c r="X59" s="14"/>
      <c r="Y59" s="23" t="str">
        <f aca="false">IF(OR(U59="",R59="",S59="",T59=""),"",U59*S59/1000*T59/R59)</f>
        <v/>
      </c>
      <c r="Z59" s="23" t="str">
        <f aca="false">IF(OR(V59="",R59="",S59="",T59=""),"",V59*S59/1000*T59/R59)</f>
        <v/>
      </c>
      <c r="AA59" s="23" t="str">
        <f aca="false">IF(OR(W59="",R59="",S59="",T59=""),"",W59*S59/1000*T59/R59)</f>
        <v/>
      </c>
      <c r="AB59" s="23" t="str">
        <f aca="false">IF(OR(X59="",R59="",S59="",T59=""),"",X59*S59/1000*T59/R59)</f>
        <v/>
      </c>
      <c r="AC59" s="23" t="str">
        <f aca="false">IF(OR(Y59="",Z59=""),"",(Z59/39.1)/(Y59/22.99))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14"/>
      <c r="I60" s="14"/>
      <c r="J60" s="14"/>
      <c r="K60" s="14"/>
      <c r="L60" s="14"/>
      <c r="M60" s="23" t="str">
        <f aca="false">IF(OR(I60="",F60="",G60="",H60=""),"",I60*G60/1000*H60/F60)</f>
        <v/>
      </c>
      <c r="N60" s="23" t="str">
        <f aca="false">IF(OR(J60="",F60="",G60="",H60=""),"",J60*G60/1000*H60/F60)</f>
        <v/>
      </c>
      <c r="O60" s="23" t="str">
        <f aca="false">IF(OR(K60="",F60="",G60="",H60=""),"",K60*G60/1000*H60/F60)</f>
        <v/>
      </c>
      <c r="P60" s="23" t="str">
        <f aca="false">IF(OR(L60="",F60="",G60="",H60=""),"",L60*G60/1000*H60/F60)</f>
        <v/>
      </c>
      <c r="Q60" s="23" t="str">
        <f aca="false">IF(OR(M60="",N60=""),"",(N60/39.1)/(M60/22.99))</f>
        <v/>
      </c>
      <c r="R60" s="14"/>
      <c r="S60" s="14"/>
      <c r="T60" s="14"/>
      <c r="U60" s="14"/>
      <c r="V60" s="14"/>
      <c r="W60" s="14"/>
      <c r="X60" s="14"/>
      <c r="Y60" s="23" t="str">
        <f aca="false">IF(OR(U60="",R60="",S60="",T60=""),"",U60*S60/1000*T60/R60)</f>
        <v/>
      </c>
      <c r="Z60" s="23" t="str">
        <f aca="false">IF(OR(V60="",R60="",S60="",T60=""),"",V60*S60/1000*T60/R60)</f>
        <v/>
      </c>
      <c r="AA60" s="23" t="str">
        <f aca="false">IF(OR(W60="",R60="",S60="",T60=""),"",W60*S60/1000*T60/R60)</f>
        <v/>
      </c>
      <c r="AB60" s="23" t="str">
        <f aca="false">IF(OR(X60="",R60="",S60="",T60=""),"",X60*S60/1000*T60/R60)</f>
        <v/>
      </c>
      <c r="AC60" s="23" t="str">
        <f aca="false">IF(OR(Y60="",Z60=""),"",(Z60/39.1)/(Y60/22.99))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14"/>
      <c r="I61" s="14"/>
      <c r="J61" s="14"/>
      <c r="K61" s="14"/>
      <c r="L61" s="14"/>
      <c r="M61" s="23" t="str">
        <f aca="false">IF(OR(I61="",F61="",G61="",H61=""),"",I61*G61/1000*H61/F61)</f>
        <v/>
      </c>
      <c r="N61" s="23" t="str">
        <f aca="false">IF(OR(J61="",F61="",G61="",H61=""),"",J61*G61/1000*H61/F61)</f>
        <v/>
      </c>
      <c r="O61" s="23" t="str">
        <f aca="false">IF(OR(K61="",F61="",G61="",H61=""),"",K61*G61/1000*H61/F61)</f>
        <v/>
      </c>
      <c r="P61" s="23" t="str">
        <f aca="false">IF(OR(L61="",F61="",G61="",H61=""),"",L61*G61/1000*H61/F61)</f>
        <v/>
      </c>
      <c r="Q61" s="23" t="str">
        <f aca="false">IF(OR(M61="",N61=""),"",(N61/39.1)/(M61/22.99))</f>
        <v/>
      </c>
      <c r="R61" s="14"/>
      <c r="S61" s="14"/>
      <c r="T61" s="14"/>
      <c r="U61" s="14"/>
      <c r="V61" s="14"/>
      <c r="W61" s="14"/>
      <c r="X61" s="14"/>
      <c r="Y61" s="23" t="str">
        <f aca="false">IF(OR(U61="",R61="",S61="",T61=""),"",U61*S61/1000*T61/R61)</f>
        <v/>
      </c>
      <c r="Z61" s="23" t="str">
        <f aca="false">IF(OR(V61="",R61="",S61="",T61=""),"",V61*S61/1000*T61/R61)</f>
        <v/>
      </c>
      <c r="AA61" s="23" t="str">
        <f aca="false">IF(OR(W61="",R61="",S61="",T61=""),"",W61*S61/1000*T61/R61)</f>
        <v/>
      </c>
      <c r="AB61" s="23" t="str">
        <f aca="false">IF(OR(X61="",R61="",S61="",T61=""),"",X61*S61/1000*T61/R61)</f>
        <v/>
      </c>
      <c r="AC61" s="23" t="str">
        <f aca="false">IF(OR(Y61="",Z61=""),"",(Z61/39.1)/(Y61/22.99))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14"/>
      <c r="I62" s="14"/>
      <c r="J62" s="14"/>
      <c r="K62" s="14"/>
      <c r="L62" s="14"/>
      <c r="M62" s="23" t="str">
        <f aca="false">IF(OR(I62="",F62="",G62="",H62=""),"",I62*G62/1000*H62/F62)</f>
        <v/>
      </c>
      <c r="N62" s="23" t="str">
        <f aca="false">IF(OR(J62="",F62="",G62="",H62=""),"",J62*G62/1000*H62/F62)</f>
        <v/>
      </c>
      <c r="O62" s="23" t="str">
        <f aca="false">IF(OR(K62="",F62="",G62="",H62=""),"",K62*G62/1000*H62/F62)</f>
        <v/>
      </c>
      <c r="P62" s="23" t="str">
        <f aca="false">IF(OR(L62="",F62="",G62="",H62=""),"",L62*G62/1000*H62/F62)</f>
        <v/>
      </c>
      <c r="Q62" s="23" t="str">
        <f aca="false">IF(OR(M62="",N62=""),"",(N62/39.1)/(M62/22.99))</f>
        <v/>
      </c>
      <c r="R62" s="14"/>
      <c r="S62" s="14"/>
      <c r="T62" s="14"/>
      <c r="U62" s="14"/>
      <c r="V62" s="14"/>
      <c r="W62" s="14"/>
      <c r="X62" s="14"/>
      <c r="Y62" s="23" t="str">
        <f aca="false">IF(OR(U62="",R62="",S62="",T62=""),"",U62*S62/1000*T62/R62)</f>
        <v/>
      </c>
      <c r="Z62" s="23" t="str">
        <f aca="false">IF(OR(V62="",R62="",S62="",T62=""),"",V62*S62/1000*T62/R62)</f>
        <v/>
      </c>
      <c r="AA62" s="23" t="str">
        <f aca="false">IF(OR(W62="",R62="",S62="",T62=""),"",W62*S62/1000*T62/R62)</f>
        <v/>
      </c>
      <c r="AB62" s="23" t="str">
        <f aca="false">IF(OR(X62="",R62="",S62="",T62=""),"",X62*S62/1000*T62/R62)</f>
        <v/>
      </c>
      <c r="AC62" s="23" t="str">
        <f aca="false">IF(OR(Y62="",Z62=""),"",(Z62/39.1)/(Y62/22.99))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14"/>
      <c r="I63" s="14"/>
      <c r="J63" s="14"/>
      <c r="K63" s="14"/>
      <c r="L63" s="14"/>
      <c r="M63" s="23" t="str">
        <f aca="false">IF(OR(I63="",F63="",G63="",H63=""),"",I63*G63/1000*H63/F63)</f>
        <v/>
      </c>
      <c r="N63" s="23" t="str">
        <f aca="false">IF(OR(J63="",F63="",G63="",H63=""),"",J63*G63/1000*H63/F63)</f>
        <v/>
      </c>
      <c r="O63" s="23" t="str">
        <f aca="false">IF(OR(K63="",F63="",G63="",H63=""),"",K63*G63/1000*H63/F63)</f>
        <v/>
      </c>
      <c r="P63" s="23" t="str">
        <f aca="false">IF(OR(L63="",F63="",G63="",H63=""),"",L63*G63/1000*H63/F63)</f>
        <v/>
      </c>
      <c r="Q63" s="23" t="str">
        <f aca="false">IF(OR(M63="",N63=""),"",(N63/39.1)/(M63/22.99))</f>
        <v/>
      </c>
      <c r="R63" s="14"/>
      <c r="S63" s="14"/>
      <c r="T63" s="14"/>
      <c r="U63" s="14"/>
      <c r="V63" s="14"/>
      <c r="W63" s="14"/>
      <c r="X63" s="14"/>
      <c r="Y63" s="23" t="str">
        <f aca="false">IF(OR(U63="",R63="",S63="",T63=""),"",U63*S63/1000*T63/R63)</f>
        <v/>
      </c>
      <c r="Z63" s="23" t="str">
        <f aca="false">IF(OR(V63="",R63="",S63="",T63=""),"",V63*S63/1000*T63/R63)</f>
        <v/>
      </c>
      <c r="AA63" s="23" t="str">
        <f aca="false">IF(OR(W63="",R63="",S63="",T63=""),"",W63*S63/1000*T63/R63)</f>
        <v/>
      </c>
      <c r="AB63" s="23" t="str">
        <f aca="false">IF(OR(X63="",R63="",S63="",T63=""),"",X63*S63/1000*T63/R63)</f>
        <v/>
      </c>
      <c r="AC63" s="23" t="str">
        <f aca="false">IF(OR(Y63="",Z63=""),"",(Z63/39.1)/(Y63/22.99))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14"/>
      <c r="I64" s="14"/>
      <c r="J64" s="14"/>
      <c r="K64" s="14"/>
      <c r="L64" s="14"/>
      <c r="M64" s="23" t="str">
        <f aca="false">IF(OR(I64="",F64="",G64="",H64=""),"",I64*G64/1000*H64/F64)</f>
        <v/>
      </c>
      <c r="N64" s="23" t="str">
        <f aca="false">IF(OR(J64="",F64="",G64="",H64=""),"",J64*G64/1000*H64/F64)</f>
        <v/>
      </c>
      <c r="O64" s="23" t="str">
        <f aca="false">IF(OR(K64="",F64="",G64="",H64=""),"",K64*G64/1000*H64/F64)</f>
        <v/>
      </c>
      <c r="P64" s="23" t="str">
        <f aca="false">IF(OR(L64="",F64="",G64="",H64=""),"",L64*G64/1000*H64/F64)</f>
        <v/>
      </c>
      <c r="Q64" s="23" t="str">
        <f aca="false">IF(OR(M64="",N64=""),"",(N64/39.1)/(M64/22.99))</f>
        <v/>
      </c>
      <c r="R64" s="14"/>
      <c r="S64" s="14"/>
      <c r="T64" s="14"/>
      <c r="U64" s="14"/>
      <c r="V64" s="14"/>
      <c r="W64" s="14"/>
      <c r="X64" s="14"/>
      <c r="Y64" s="23" t="str">
        <f aca="false">IF(OR(U64="",R64="",S64="",T64=""),"",U64*S64/1000*T64/R64)</f>
        <v/>
      </c>
      <c r="Z64" s="23" t="str">
        <f aca="false">IF(OR(V64="",R64="",S64="",T64=""),"",V64*S64/1000*T64/R64)</f>
        <v/>
      </c>
      <c r="AA64" s="23" t="str">
        <f aca="false">IF(OR(W64="",R64="",S64="",T64=""),"",W64*S64/1000*T64/R64)</f>
        <v/>
      </c>
      <c r="AB64" s="23" t="str">
        <f aca="false">IF(OR(X64="",R64="",S64="",T64=""),"",X64*S64/1000*T64/R64)</f>
        <v/>
      </c>
      <c r="AC64" s="23" t="str">
        <f aca="false">IF(OR(Y64="",Z64=""),"",(Z64/39.1)/(Y64/22.99))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14"/>
      <c r="I65" s="14"/>
      <c r="J65" s="14"/>
      <c r="K65" s="14"/>
      <c r="L65" s="14"/>
      <c r="M65" s="23" t="str">
        <f aca="false">IF(OR(I65="",F65="",G65="",H65=""),"",I65*G65/1000*H65/F65)</f>
        <v/>
      </c>
      <c r="N65" s="23" t="str">
        <f aca="false">IF(OR(J65="",F65="",G65="",H65=""),"",J65*G65/1000*H65/F65)</f>
        <v/>
      </c>
      <c r="O65" s="23" t="str">
        <f aca="false">IF(OR(K65="",F65="",G65="",H65=""),"",K65*G65/1000*H65/F65)</f>
        <v/>
      </c>
      <c r="P65" s="23" t="str">
        <f aca="false">IF(OR(L65="",F65="",G65="",H65=""),"",L65*G65/1000*H65/F65)</f>
        <v/>
      </c>
      <c r="Q65" s="23" t="str">
        <f aca="false">IF(OR(M65="",N65=""),"",(N65/39.1)/(M65/22.99))</f>
        <v/>
      </c>
      <c r="R65" s="14"/>
      <c r="S65" s="14"/>
      <c r="T65" s="14"/>
      <c r="U65" s="14"/>
      <c r="V65" s="14"/>
      <c r="W65" s="14"/>
      <c r="X65" s="14"/>
      <c r="Y65" s="23" t="str">
        <f aca="false">IF(OR(U65="",R65="",S65="",T65=""),"",U65*S65/1000*T65/R65)</f>
        <v/>
      </c>
      <c r="Z65" s="23" t="str">
        <f aca="false">IF(OR(V65="",R65="",S65="",T65=""),"",V65*S65/1000*T65/R65)</f>
        <v/>
      </c>
      <c r="AA65" s="23" t="str">
        <f aca="false">IF(OR(W65="",R65="",S65="",T65=""),"",W65*S65/1000*T65/R65)</f>
        <v/>
      </c>
      <c r="AB65" s="23" t="str">
        <f aca="false">IF(OR(X65="",R65="",S65="",T65=""),"",X65*S65/1000*T65/R65)</f>
        <v/>
      </c>
      <c r="AC65" s="23" t="str">
        <f aca="false">IF(OR(Y65="",Z65=""),"",(Z65/39.1)/(Y65/22.99))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14"/>
      <c r="I66" s="14"/>
      <c r="J66" s="14"/>
      <c r="K66" s="14"/>
      <c r="L66" s="14"/>
      <c r="M66" s="23" t="str">
        <f aca="false">IF(OR(I66="",F66="",G66="",H66=""),"",I66*G66/1000*H66/F66)</f>
        <v/>
      </c>
      <c r="N66" s="23" t="str">
        <f aca="false">IF(OR(J66="",F66="",G66="",H66=""),"",J66*G66/1000*H66/F66)</f>
        <v/>
      </c>
      <c r="O66" s="23" t="str">
        <f aca="false">IF(OR(K66="",F66="",G66="",H66=""),"",K66*G66/1000*H66/F66)</f>
        <v/>
      </c>
      <c r="P66" s="23" t="str">
        <f aca="false">IF(OR(L66="",F66="",G66="",H66=""),"",L66*G66/1000*H66/F66)</f>
        <v/>
      </c>
      <c r="Q66" s="23" t="str">
        <f aca="false">IF(OR(M66="",N66=""),"",(N66/39.1)/(M66/22.99))</f>
        <v/>
      </c>
      <c r="R66" s="14"/>
      <c r="S66" s="14"/>
      <c r="T66" s="14"/>
      <c r="U66" s="14"/>
      <c r="V66" s="14"/>
      <c r="W66" s="14"/>
      <c r="X66" s="14"/>
      <c r="Y66" s="23" t="str">
        <f aca="false">IF(OR(U66="",R66="",S66="",T66=""),"",U66*S66/1000*T66/R66)</f>
        <v/>
      </c>
      <c r="Z66" s="23" t="str">
        <f aca="false">IF(OR(V66="",R66="",S66="",T66=""),"",V66*S66/1000*T66/R66)</f>
        <v/>
      </c>
      <c r="AA66" s="23" t="str">
        <f aca="false">IF(OR(W66="",R66="",S66="",T66=""),"",W66*S66/1000*T66/R66)</f>
        <v/>
      </c>
      <c r="AB66" s="23" t="str">
        <f aca="false">IF(OR(X66="",R66="",S66="",T66=""),"",X66*S66/1000*T66/R66)</f>
        <v/>
      </c>
      <c r="AC66" s="23" t="str">
        <f aca="false">IF(OR(Y66="",Z66=""),"",(Z66/39.1)/(Y66/22.99))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14"/>
      <c r="I67" s="14"/>
      <c r="J67" s="14"/>
      <c r="K67" s="14"/>
      <c r="L67" s="14"/>
      <c r="M67" s="23" t="str">
        <f aca="false">IF(OR(I67="",F67="",G67="",H67=""),"",I67*G67/1000*H67/F67)</f>
        <v/>
      </c>
      <c r="N67" s="23" t="str">
        <f aca="false">IF(OR(J67="",F67="",G67="",H67=""),"",J67*G67/1000*H67/F67)</f>
        <v/>
      </c>
      <c r="O67" s="23" t="str">
        <f aca="false">IF(OR(K67="",F67="",G67="",H67=""),"",K67*G67/1000*H67/F67)</f>
        <v/>
      </c>
      <c r="P67" s="23" t="str">
        <f aca="false">IF(OR(L67="",F67="",G67="",H67=""),"",L67*G67/1000*H67/F67)</f>
        <v/>
      </c>
      <c r="Q67" s="23" t="str">
        <f aca="false">IF(OR(M67="",N67=""),"",(N67/39.1)/(M67/22.99))</f>
        <v/>
      </c>
      <c r="R67" s="14"/>
      <c r="S67" s="14"/>
      <c r="T67" s="14"/>
      <c r="U67" s="14"/>
      <c r="V67" s="14"/>
      <c r="W67" s="14"/>
      <c r="X67" s="14"/>
      <c r="Y67" s="23" t="str">
        <f aca="false">IF(OR(U67="",R67="",S67="",T67=""),"",U67*S67/1000*T67/R67)</f>
        <v/>
      </c>
      <c r="Z67" s="23" t="str">
        <f aca="false">IF(OR(V67="",R67="",S67="",T67=""),"",V67*S67/1000*T67/R67)</f>
        <v/>
      </c>
      <c r="AA67" s="23" t="str">
        <f aca="false">IF(OR(W67="",R67="",S67="",T67=""),"",W67*S67/1000*T67/R67)</f>
        <v/>
      </c>
      <c r="AB67" s="23" t="str">
        <f aca="false">IF(OR(X67="",R67="",S67="",T67=""),"",X67*S67/1000*T67/R67)</f>
        <v/>
      </c>
      <c r="AC67" s="23" t="str">
        <f aca="false">IF(OR(Y67="",Z67=""),"",(Z67/39.1)/(Y67/22.99))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14"/>
      <c r="I68" s="14"/>
      <c r="J68" s="14"/>
      <c r="K68" s="14"/>
      <c r="L68" s="14"/>
      <c r="M68" s="23" t="str">
        <f aca="false">IF(OR(I68="",F68="",G68="",H68=""),"",I68*G68/1000*H68/F68)</f>
        <v/>
      </c>
      <c r="N68" s="23" t="str">
        <f aca="false">IF(OR(J68="",F68="",G68="",H68=""),"",J68*G68/1000*H68/F68)</f>
        <v/>
      </c>
      <c r="O68" s="23" t="str">
        <f aca="false">IF(OR(K68="",F68="",G68="",H68=""),"",K68*G68/1000*H68/F68)</f>
        <v/>
      </c>
      <c r="P68" s="23" t="str">
        <f aca="false">IF(OR(L68="",F68="",G68="",H68=""),"",L68*G68/1000*H68/F68)</f>
        <v/>
      </c>
      <c r="Q68" s="23" t="str">
        <f aca="false">IF(OR(M68="",N68=""),"",(N68/39.1)/(M68/22.99))</f>
        <v/>
      </c>
      <c r="R68" s="14"/>
      <c r="S68" s="14"/>
      <c r="T68" s="14"/>
      <c r="U68" s="14"/>
      <c r="V68" s="14"/>
      <c r="W68" s="14"/>
      <c r="X68" s="14"/>
      <c r="Y68" s="23" t="str">
        <f aca="false">IF(OR(U68="",R68="",S68="",T68=""),"",U68*S68/1000*T68/R68)</f>
        <v/>
      </c>
      <c r="Z68" s="23" t="str">
        <f aca="false">IF(OR(V68="",R68="",S68="",T68=""),"",V68*S68/1000*T68/R68)</f>
        <v/>
      </c>
      <c r="AA68" s="23" t="str">
        <f aca="false">IF(OR(W68="",R68="",S68="",T68=""),"",W68*S68/1000*T68/R68)</f>
        <v/>
      </c>
      <c r="AB68" s="23" t="str">
        <f aca="false">IF(OR(X68="",R68="",S68="",T68=""),"",X68*S68/1000*T68/R68)</f>
        <v/>
      </c>
      <c r="AC68" s="23" t="str">
        <f aca="false">IF(OR(Y68="",Z68=""),"",(Z68/39.1)/(Y68/22.99))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14"/>
      <c r="I69" s="14"/>
      <c r="J69" s="14"/>
      <c r="K69" s="14"/>
      <c r="L69" s="14"/>
      <c r="M69" s="23" t="str">
        <f aca="false">IF(OR(I69="",F69="",G69="",H69=""),"",I69*G69/1000*H69/F69)</f>
        <v/>
      </c>
      <c r="N69" s="23" t="str">
        <f aca="false">IF(OR(J69="",F69="",G69="",H69=""),"",J69*G69/1000*H69/F69)</f>
        <v/>
      </c>
      <c r="O69" s="23" t="str">
        <f aca="false">IF(OR(K69="",F69="",G69="",H69=""),"",K69*G69/1000*H69/F69)</f>
        <v/>
      </c>
      <c r="P69" s="23" t="str">
        <f aca="false">IF(OR(L69="",F69="",G69="",H69=""),"",L69*G69/1000*H69/F69)</f>
        <v/>
      </c>
      <c r="Q69" s="23" t="str">
        <f aca="false">IF(OR(M69="",N69=""),"",(N69/39.1)/(M69/22.99))</f>
        <v/>
      </c>
      <c r="R69" s="14"/>
      <c r="S69" s="14"/>
      <c r="T69" s="14"/>
      <c r="U69" s="14"/>
      <c r="V69" s="14"/>
      <c r="W69" s="14"/>
      <c r="X69" s="14"/>
      <c r="Y69" s="23" t="str">
        <f aca="false">IF(OR(U69="",R69="",S69="",T69=""),"",U69*S69/1000*T69/R69)</f>
        <v/>
      </c>
      <c r="Z69" s="23" t="str">
        <f aca="false">IF(OR(V69="",R69="",S69="",T69=""),"",V69*S69/1000*T69/R69)</f>
        <v/>
      </c>
      <c r="AA69" s="23" t="str">
        <f aca="false">IF(OR(W69="",R69="",S69="",T69=""),"",W69*S69/1000*T69/R69)</f>
        <v/>
      </c>
      <c r="AB69" s="23" t="str">
        <f aca="false">IF(OR(X69="",R69="",S69="",T69=""),"",X69*S69/1000*T69/R69)</f>
        <v/>
      </c>
      <c r="AC69" s="23" t="str">
        <f aca="false">IF(OR(Y69="",Z69=""),"",(Z69/39.1)/(Y69/22.99))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14"/>
      <c r="I70" s="14"/>
      <c r="J70" s="14"/>
      <c r="K70" s="14"/>
      <c r="L70" s="14"/>
      <c r="M70" s="23" t="str">
        <f aca="false">IF(OR(I70="",F70="",G70="",H70=""),"",I70*G70/1000*H70/F70)</f>
        <v/>
      </c>
      <c r="N70" s="23" t="str">
        <f aca="false">IF(OR(J70="",F70="",G70="",H70=""),"",J70*G70/1000*H70/F70)</f>
        <v/>
      </c>
      <c r="O70" s="23" t="str">
        <f aca="false">IF(OR(K70="",F70="",G70="",H70=""),"",K70*G70/1000*H70/F70)</f>
        <v/>
      </c>
      <c r="P70" s="23" t="str">
        <f aca="false">IF(OR(L70="",F70="",G70="",H70=""),"",L70*G70/1000*H70/F70)</f>
        <v/>
      </c>
      <c r="Q70" s="23" t="str">
        <f aca="false">IF(OR(M70="",N70=""),"",(N70/39.1)/(M70/22.99))</f>
        <v/>
      </c>
      <c r="R70" s="14"/>
      <c r="S70" s="14"/>
      <c r="T70" s="14"/>
      <c r="U70" s="14"/>
      <c r="V70" s="14"/>
      <c r="W70" s="14"/>
      <c r="X70" s="14"/>
      <c r="Y70" s="23" t="str">
        <f aca="false">IF(OR(U70="",R70="",S70="",T70=""),"",U70*S70/1000*T70/R70)</f>
        <v/>
      </c>
      <c r="Z70" s="23" t="str">
        <f aca="false">IF(OR(V70="",R70="",S70="",T70=""),"",V70*S70/1000*T70/R70)</f>
        <v/>
      </c>
      <c r="AA70" s="23" t="str">
        <f aca="false">IF(OR(W70="",R70="",S70="",T70=""),"",W70*S70/1000*T70/R70)</f>
        <v/>
      </c>
      <c r="AB70" s="23" t="str">
        <f aca="false">IF(OR(X70="",R70="",S70="",T70=""),"",X70*S70/1000*T70/R70)</f>
        <v/>
      </c>
      <c r="AC70" s="23" t="str">
        <f aca="false">IF(OR(Y70="",Z70=""),"",(Z70/39.1)/(Y70/22.99))</f>
        <v/>
      </c>
    </row>
  </sheetData>
  <mergeCells count="5">
    <mergeCell ref="A4:E4"/>
    <mergeCell ref="F4:H4"/>
    <mergeCell ref="I4:Q4"/>
    <mergeCell ref="R4:T4"/>
    <mergeCell ref="U4:A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3" min="3" style="0" width="12"/>
  </cols>
  <sheetData>
    <row r="1" customFormat="false" ht="16.15" hidden="false" customHeight="false" outlineLevel="0" collapsed="false">
      <c r="A1" s="1" t="s">
        <v>390</v>
      </c>
    </row>
    <row r="2" customFormat="false" ht="15" hidden="false" customHeight="false" outlineLevel="0" collapsed="false">
      <c r="A2" s="2" t="s">
        <v>391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392</v>
      </c>
      <c r="G4" s="16"/>
      <c r="H4" s="16"/>
      <c r="I4" s="16"/>
      <c r="J4" s="16"/>
      <c r="K4" s="16" t="s">
        <v>393</v>
      </c>
      <c r="L4" s="16"/>
      <c r="M4" s="16"/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394</v>
      </c>
      <c r="G5" s="18" t="s">
        <v>395</v>
      </c>
      <c r="H5" s="18" t="s">
        <v>396</v>
      </c>
      <c r="I5" s="18" t="s">
        <v>397</v>
      </c>
      <c r="J5" s="18" t="s">
        <v>398</v>
      </c>
      <c r="K5" s="18" t="s">
        <v>399</v>
      </c>
      <c r="L5" s="18" t="s">
        <v>400</v>
      </c>
      <c r="M5" s="18" t="s">
        <v>401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14.8</v>
      </c>
      <c r="G6" s="21" t="n">
        <v>0.32</v>
      </c>
      <c r="H6" s="21" t="n">
        <v>4.6</v>
      </c>
      <c r="I6" s="21" t="n">
        <v>265</v>
      </c>
      <c r="J6" s="22" t="n">
        <f aca="false">IF(OR(F6="",H6=""),"",F6/H6)</f>
        <v>3.21739130434783</v>
      </c>
      <c r="K6" s="21" t="n">
        <v>410</v>
      </c>
      <c r="L6" s="21" t="n">
        <v>2050</v>
      </c>
      <c r="M6" s="22" t="n">
        <f aca="false">IF(OR(K6="",L6=""),"",(L6-K6)/L6)</f>
        <v>0.8</v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14"/>
      <c r="I7" s="14"/>
      <c r="J7" s="23" t="str">
        <f aca="false">IF(OR(F7="",H7=""),"",F7/H7)</f>
        <v/>
      </c>
      <c r="K7" s="14"/>
      <c r="L7" s="14"/>
      <c r="M7" s="23" t="str">
        <f aca="false">IF(OR(K7="",L7=""),"",(L7-K7)/L7)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14"/>
      <c r="I8" s="14"/>
      <c r="J8" s="23" t="str">
        <f aca="false">IF(OR(F8="",H8=""),"",F8/H8)</f>
        <v/>
      </c>
      <c r="K8" s="14"/>
      <c r="L8" s="14"/>
      <c r="M8" s="23" t="str">
        <f aca="false">IF(OR(K8="",L8=""),"",(L8-K8)/L8)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14"/>
      <c r="I9" s="14"/>
      <c r="J9" s="23" t="str">
        <f aca="false">IF(OR(F9="",H9=""),"",F9/H9)</f>
        <v/>
      </c>
      <c r="K9" s="14"/>
      <c r="L9" s="14"/>
      <c r="M9" s="23" t="str">
        <f aca="false">IF(OR(K9="",L9=""),"",(L9-K9)/L9)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14"/>
      <c r="I10" s="14"/>
      <c r="J10" s="23" t="str">
        <f aca="false">IF(OR(F10="",H10=""),"",F10/H10)</f>
        <v/>
      </c>
      <c r="K10" s="14"/>
      <c r="L10" s="14"/>
      <c r="M10" s="23" t="str">
        <f aca="false">IF(OR(K10="",L10=""),"",(L10-K10)/L10)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14"/>
      <c r="I11" s="14"/>
      <c r="J11" s="23" t="str">
        <f aca="false">IF(OR(F11="",H11=""),"",F11/H11)</f>
        <v/>
      </c>
      <c r="K11" s="14"/>
      <c r="L11" s="14"/>
      <c r="M11" s="23" t="str">
        <f aca="false">IF(OR(K11="",L11=""),"",(L11-K11)/L11)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14"/>
      <c r="I12" s="14"/>
      <c r="J12" s="23" t="str">
        <f aca="false">IF(OR(F12="",H12=""),"",F12/H12)</f>
        <v/>
      </c>
      <c r="K12" s="14"/>
      <c r="L12" s="14"/>
      <c r="M12" s="23" t="str">
        <f aca="false">IF(OR(K12="",L12=""),"",(L12-K12)/L12)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14"/>
      <c r="I13" s="14"/>
      <c r="J13" s="23" t="str">
        <f aca="false">IF(OR(F13="",H13=""),"",F13/H13)</f>
        <v/>
      </c>
      <c r="K13" s="14"/>
      <c r="L13" s="14"/>
      <c r="M13" s="23" t="str">
        <f aca="false">IF(OR(K13="",L13=""),"",(L13-K13)/L13)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14"/>
      <c r="I14" s="14"/>
      <c r="J14" s="23" t="str">
        <f aca="false">IF(OR(F14="",H14=""),"",F14/H14)</f>
        <v/>
      </c>
      <c r="K14" s="14"/>
      <c r="L14" s="14"/>
      <c r="M14" s="23" t="str">
        <f aca="false">IF(OR(K14="",L14=""),"",(L14-K14)/L14)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14"/>
      <c r="I15" s="14"/>
      <c r="J15" s="23" t="str">
        <f aca="false">IF(OR(F15="",H15=""),"",F15/H15)</f>
        <v/>
      </c>
      <c r="K15" s="14"/>
      <c r="L15" s="14"/>
      <c r="M15" s="23" t="str">
        <f aca="false">IF(OR(K15="",L15=""),"",(L15-K15)/L15)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14"/>
      <c r="I16" s="14"/>
      <c r="J16" s="23" t="str">
        <f aca="false">IF(OR(F16="",H16=""),"",F16/H16)</f>
        <v/>
      </c>
      <c r="K16" s="14"/>
      <c r="L16" s="14"/>
      <c r="M16" s="23" t="str">
        <f aca="false">IF(OR(K16="",L16=""),"",(L16-K16)/L16)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14"/>
      <c r="I17" s="14"/>
      <c r="J17" s="23" t="str">
        <f aca="false">IF(OR(F17="",H17=""),"",F17/H17)</f>
        <v/>
      </c>
      <c r="K17" s="14"/>
      <c r="L17" s="14"/>
      <c r="M17" s="23" t="str">
        <f aca="false">IF(OR(K17="",L17=""),"",(L17-K17)/L17)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14"/>
      <c r="I18" s="14"/>
      <c r="J18" s="23" t="str">
        <f aca="false">IF(OR(F18="",H18=""),"",F18/H18)</f>
        <v/>
      </c>
      <c r="K18" s="14"/>
      <c r="L18" s="14"/>
      <c r="M18" s="23" t="str">
        <f aca="false">IF(OR(K18="",L18=""),"",(L18-K18)/L18)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14"/>
      <c r="I19" s="14"/>
      <c r="J19" s="23" t="str">
        <f aca="false">IF(OR(F19="",H19=""),"",F19/H19)</f>
        <v/>
      </c>
      <c r="K19" s="14"/>
      <c r="L19" s="14"/>
      <c r="M19" s="23" t="str">
        <f aca="false">IF(OR(K19="",L19=""),"",(L19-K19)/L19)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14"/>
      <c r="I20" s="14"/>
      <c r="J20" s="23" t="str">
        <f aca="false">IF(OR(F20="",H20=""),"",F20/H20)</f>
        <v/>
      </c>
      <c r="K20" s="14"/>
      <c r="L20" s="14"/>
      <c r="M20" s="23" t="str">
        <f aca="false">IF(OR(K20="",L20=""),"",(L20-K20)/L20)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14"/>
      <c r="I21" s="14"/>
      <c r="J21" s="23" t="str">
        <f aca="false">IF(OR(F21="",H21=""),"",F21/H21)</f>
        <v/>
      </c>
      <c r="K21" s="14"/>
      <c r="L21" s="14"/>
      <c r="M21" s="23" t="str">
        <f aca="false">IF(OR(K21="",L21=""),"",(L21-K21)/L21)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14"/>
      <c r="I22" s="14"/>
      <c r="J22" s="23" t="str">
        <f aca="false">IF(OR(F22="",H22=""),"",F22/H22)</f>
        <v/>
      </c>
      <c r="K22" s="14"/>
      <c r="L22" s="14"/>
      <c r="M22" s="23" t="str">
        <f aca="false">IF(OR(K22="",L22=""),"",(L22-K22)/L22)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14"/>
      <c r="I23" s="14"/>
      <c r="J23" s="23" t="str">
        <f aca="false">IF(OR(F23="",H23=""),"",F23/H23)</f>
        <v/>
      </c>
      <c r="K23" s="14"/>
      <c r="L23" s="14"/>
      <c r="M23" s="23" t="str">
        <f aca="false">IF(OR(K23="",L23=""),"",(L23-K23)/L23)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14"/>
      <c r="I24" s="14"/>
      <c r="J24" s="23" t="str">
        <f aca="false">IF(OR(F24="",H24=""),"",F24/H24)</f>
        <v/>
      </c>
      <c r="K24" s="14"/>
      <c r="L24" s="14"/>
      <c r="M24" s="23" t="str">
        <f aca="false">IF(OR(K24="",L24=""),"",(L24-K24)/L24)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14"/>
      <c r="I25" s="14"/>
      <c r="J25" s="23" t="str">
        <f aca="false">IF(OR(F25="",H25=""),"",F25/H25)</f>
        <v/>
      </c>
      <c r="K25" s="14"/>
      <c r="L25" s="14"/>
      <c r="M25" s="23" t="str">
        <f aca="false">IF(OR(K25="",L25=""),"",(L25-K25)/L25)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14"/>
      <c r="I26" s="14"/>
      <c r="J26" s="23" t="str">
        <f aca="false">IF(OR(F26="",H26=""),"",F26/H26)</f>
        <v/>
      </c>
      <c r="K26" s="14"/>
      <c r="L26" s="14"/>
      <c r="M26" s="23" t="str">
        <f aca="false">IF(OR(K26="",L26=""),"",(L26-K26)/L26)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14"/>
      <c r="I27" s="14"/>
      <c r="J27" s="23" t="str">
        <f aca="false">IF(OR(F27="",H27=""),"",F27/H27)</f>
        <v/>
      </c>
      <c r="K27" s="14"/>
      <c r="L27" s="14"/>
      <c r="M27" s="23" t="str">
        <f aca="false">IF(OR(K27="",L27=""),"",(L27-K27)/L27)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14"/>
      <c r="I28" s="14"/>
      <c r="J28" s="23" t="str">
        <f aca="false">IF(OR(F28="",H28=""),"",F28/H28)</f>
        <v/>
      </c>
      <c r="K28" s="14"/>
      <c r="L28" s="14"/>
      <c r="M28" s="23" t="str">
        <f aca="false">IF(OR(K28="",L28=""),"",(L28-K28)/L28)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14"/>
      <c r="I29" s="14"/>
      <c r="J29" s="23" t="str">
        <f aca="false">IF(OR(F29="",H29=""),"",F29/H29)</f>
        <v/>
      </c>
      <c r="K29" s="14"/>
      <c r="L29" s="14"/>
      <c r="M29" s="23" t="str">
        <f aca="false">IF(OR(K29="",L29=""),"",(L29-K29)/L29)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14"/>
      <c r="I30" s="14"/>
      <c r="J30" s="23" t="str">
        <f aca="false">IF(OR(F30="",H30=""),"",F30/H30)</f>
        <v/>
      </c>
      <c r="K30" s="14"/>
      <c r="L30" s="14"/>
      <c r="M30" s="23" t="str">
        <f aca="false">IF(OR(K30="",L30=""),"",(L30-K30)/L30)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14"/>
      <c r="I31" s="14"/>
      <c r="J31" s="23" t="str">
        <f aca="false">IF(OR(F31="",H31=""),"",F31/H31)</f>
        <v/>
      </c>
      <c r="K31" s="14"/>
      <c r="L31" s="14"/>
      <c r="M31" s="23" t="str">
        <f aca="false">IF(OR(K31="",L31=""),"",(L31-K31)/L31)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14"/>
      <c r="I32" s="14"/>
      <c r="J32" s="23" t="str">
        <f aca="false">IF(OR(F32="",H32=""),"",F32/H32)</f>
        <v/>
      </c>
      <c r="K32" s="14"/>
      <c r="L32" s="14"/>
      <c r="M32" s="23" t="str">
        <f aca="false">IF(OR(K32="",L32=""),"",(L32-K32)/L32)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14"/>
      <c r="I33" s="14"/>
      <c r="J33" s="23" t="str">
        <f aca="false">IF(OR(F33="",H33=""),"",F33/H33)</f>
        <v/>
      </c>
      <c r="K33" s="14"/>
      <c r="L33" s="14"/>
      <c r="M33" s="23" t="str">
        <f aca="false">IF(OR(K33="",L33=""),"",(L33-K33)/L33)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14"/>
      <c r="I34" s="14"/>
      <c r="J34" s="23" t="str">
        <f aca="false">IF(OR(F34="",H34=""),"",F34/H34)</f>
        <v/>
      </c>
      <c r="K34" s="14"/>
      <c r="L34" s="14"/>
      <c r="M34" s="23" t="str">
        <f aca="false">IF(OR(K34="",L34=""),"",(L34-K34)/L34)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14"/>
      <c r="I35" s="14"/>
      <c r="J35" s="23" t="str">
        <f aca="false">IF(OR(F35="",H35=""),"",F35/H35)</f>
        <v/>
      </c>
      <c r="K35" s="14"/>
      <c r="L35" s="14"/>
      <c r="M35" s="23" t="str">
        <f aca="false">IF(OR(K35="",L35=""),"",(L35-K35)/L35)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14"/>
      <c r="I36" s="14"/>
      <c r="J36" s="23" t="str">
        <f aca="false">IF(OR(F36="",H36=""),"",F36/H36)</f>
        <v/>
      </c>
      <c r="K36" s="14"/>
      <c r="L36" s="14"/>
      <c r="M36" s="23" t="str">
        <f aca="false">IF(OR(K36="",L36=""),"",(L36-K36)/L36)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14"/>
      <c r="I37" s="14"/>
      <c r="J37" s="23" t="str">
        <f aca="false">IF(OR(F37="",H37=""),"",F37/H37)</f>
        <v/>
      </c>
      <c r="K37" s="14"/>
      <c r="L37" s="14"/>
      <c r="M37" s="23" t="str">
        <f aca="false">IF(OR(K37="",L37=""),"",(L37-K37)/L37)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14"/>
      <c r="I38" s="14"/>
      <c r="J38" s="23" t="str">
        <f aca="false">IF(OR(F38="",H38=""),"",F38/H38)</f>
        <v/>
      </c>
      <c r="K38" s="14"/>
      <c r="L38" s="14"/>
      <c r="M38" s="23" t="str">
        <f aca="false">IF(OR(K38="",L38=""),"",(L38-K38)/L38)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14"/>
      <c r="I39" s="14"/>
      <c r="J39" s="23" t="str">
        <f aca="false">IF(OR(F39="",H39=""),"",F39/H39)</f>
        <v/>
      </c>
      <c r="K39" s="14"/>
      <c r="L39" s="14"/>
      <c r="M39" s="23" t="str">
        <f aca="false">IF(OR(K39="",L39=""),"",(L39-K39)/L39)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14"/>
      <c r="I40" s="14"/>
      <c r="J40" s="23" t="str">
        <f aca="false">IF(OR(F40="",H40=""),"",F40/H40)</f>
        <v/>
      </c>
      <c r="K40" s="14"/>
      <c r="L40" s="14"/>
      <c r="M40" s="23" t="str">
        <f aca="false">IF(OR(K40="",L40=""),"",(L40-K40)/L40)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14"/>
      <c r="I41" s="14"/>
      <c r="J41" s="23" t="str">
        <f aca="false">IF(OR(F41="",H41=""),"",F41/H41)</f>
        <v/>
      </c>
      <c r="K41" s="14"/>
      <c r="L41" s="14"/>
      <c r="M41" s="23" t="str">
        <f aca="false">IF(OR(K41="",L41=""),"",(L41-K41)/L41)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14"/>
      <c r="I42" s="14"/>
      <c r="J42" s="23" t="str">
        <f aca="false">IF(OR(F42="",H42=""),"",F42/H42)</f>
        <v/>
      </c>
      <c r="K42" s="14"/>
      <c r="L42" s="14"/>
      <c r="M42" s="23" t="str">
        <f aca="false">IF(OR(K42="",L42=""),"",(L42-K42)/L42)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14"/>
      <c r="I43" s="14"/>
      <c r="J43" s="23" t="str">
        <f aca="false">IF(OR(F43="",H43=""),"",F43/H43)</f>
        <v/>
      </c>
      <c r="K43" s="14"/>
      <c r="L43" s="14"/>
      <c r="M43" s="23" t="str">
        <f aca="false">IF(OR(K43="",L43=""),"",(L43-K43)/L43)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14"/>
      <c r="I44" s="14"/>
      <c r="J44" s="23" t="str">
        <f aca="false">IF(OR(F44="",H44=""),"",F44/H44)</f>
        <v/>
      </c>
      <c r="K44" s="14"/>
      <c r="L44" s="14"/>
      <c r="M44" s="23" t="str">
        <f aca="false">IF(OR(K44="",L44=""),"",(L44-K44)/L44)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14"/>
      <c r="I45" s="14"/>
      <c r="J45" s="23" t="str">
        <f aca="false">IF(OR(F45="",H45=""),"",F45/H45)</f>
        <v/>
      </c>
      <c r="K45" s="14"/>
      <c r="L45" s="14"/>
      <c r="M45" s="23" t="str">
        <f aca="false">IF(OR(K45="",L45=""),"",(L45-K45)/L45)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14"/>
      <c r="I46" s="14"/>
      <c r="J46" s="23" t="str">
        <f aca="false">IF(OR(F46="",H46=""),"",F46/H46)</f>
        <v/>
      </c>
      <c r="K46" s="14"/>
      <c r="L46" s="14"/>
      <c r="M46" s="23" t="str">
        <f aca="false">IF(OR(K46="",L46=""),"",(L46-K46)/L46)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14"/>
      <c r="I47" s="14"/>
      <c r="J47" s="23" t="str">
        <f aca="false">IF(OR(F47="",H47=""),"",F47/H47)</f>
        <v/>
      </c>
      <c r="K47" s="14"/>
      <c r="L47" s="14"/>
      <c r="M47" s="23" t="str">
        <f aca="false">IF(OR(K47="",L47=""),"",(L47-K47)/L47)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14"/>
      <c r="I48" s="14"/>
      <c r="J48" s="23" t="str">
        <f aca="false">IF(OR(F48="",H48=""),"",F48/H48)</f>
        <v/>
      </c>
      <c r="K48" s="14"/>
      <c r="L48" s="14"/>
      <c r="M48" s="23" t="str">
        <f aca="false">IF(OR(K48="",L48=""),"",(L48-K48)/L48)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14"/>
      <c r="I49" s="14"/>
      <c r="J49" s="23" t="str">
        <f aca="false">IF(OR(F49="",H49=""),"",F49/H49)</f>
        <v/>
      </c>
      <c r="K49" s="14"/>
      <c r="L49" s="14"/>
      <c r="M49" s="23" t="str">
        <f aca="false">IF(OR(K49="",L49=""),"",(L49-K49)/L49)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14"/>
      <c r="I50" s="14"/>
      <c r="J50" s="23" t="str">
        <f aca="false">IF(OR(F50="",H50=""),"",F50/H50)</f>
        <v/>
      </c>
      <c r="K50" s="14"/>
      <c r="L50" s="14"/>
      <c r="M50" s="23" t="str">
        <f aca="false">IF(OR(K50="",L50=""),"",(L50-K50)/L50)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14"/>
      <c r="I51" s="14"/>
      <c r="J51" s="23" t="str">
        <f aca="false">IF(OR(F51="",H51=""),"",F51/H51)</f>
        <v/>
      </c>
      <c r="K51" s="14"/>
      <c r="L51" s="14"/>
      <c r="M51" s="23" t="str">
        <f aca="false">IF(OR(K51="",L51=""),"",(L51-K51)/L51)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14"/>
      <c r="I52" s="14"/>
      <c r="J52" s="23" t="str">
        <f aca="false">IF(OR(F52="",H52=""),"",F52/H52)</f>
        <v/>
      </c>
      <c r="K52" s="14"/>
      <c r="L52" s="14"/>
      <c r="M52" s="23" t="str">
        <f aca="false">IF(OR(K52="",L52=""),"",(L52-K52)/L52)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14"/>
      <c r="I53" s="14"/>
      <c r="J53" s="23" t="str">
        <f aca="false">IF(OR(F53="",H53=""),"",F53/H53)</f>
        <v/>
      </c>
      <c r="K53" s="14"/>
      <c r="L53" s="14"/>
      <c r="M53" s="23" t="str">
        <f aca="false">IF(OR(K53="",L53=""),"",(L53-K53)/L53)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14"/>
      <c r="I54" s="14"/>
      <c r="J54" s="23" t="str">
        <f aca="false">IF(OR(F54="",H54=""),"",F54/H54)</f>
        <v/>
      </c>
      <c r="K54" s="14"/>
      <c r="L54" s="14"/>
      <c r="M54" s="23" t="str">
        <f aca="false">IF(OR(K54="",L54=""),"",(L54-K54)/L54)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14"/>
      <c r="I55" s="14"/>
      <c r="J55" s="23" t="str">
        <f aca="false">IF(OR(F55="",H55=""),"",F55/H55)</f>
        <v/>
      </c>
      <c r="K55" s="14"/>
      <c r="L55" s="14"/>
      <c r="M55" s="23" t="str">
        <f aca="false">IF(OR(K55="",L55=""),"",(L55-K55)/L55)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14"/>
      <c r="I56" s="14"/>
      <c r="J56" s="23" t="str">
        <f aca="false">IF(OR(F56="",H56=""),"",F56/H56)</f>
        <v/>
      </c>
      <c r="K56" s="14"/>
      <c r="L56" s="14"/>
      <c r="M56" s="23" t="str">
        <f aca="false">IF(OR(K56="",L56=""),"",(L56-K56)/L56)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14"/>
      <c r="I57" s="14"/>
      <c r="J57" s="23" t="str">
        <f aca="false">IF(OR(F57="",H57=""),"",F57/H57)</f>
        <v/>
      </c>
      <c r="K57" s="14"/>
      <c r="L57" s="14"/>
      <c r="M57" s="23" t="str">
        <f aca="false">IF(OR(K57="",L57=""),"",(L57-K57)/L57)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14"/>
      <c r="I58" s="14"/>
      <c r="J58" s="23" t="str">
        <f aca="false">IF(OR(F58="",H58=""),"",F58/H58)</f>
        <v/>
      </c>
      <c r="K58" s="14"/>
      <c r="L58" s="14"/>
      <c r="M58" s="23" t="str">
        <f aca="false">IF(OR(K58="",L58=""),"",(L58-K58)/L58)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14"/>
      <c r="I59" s="14"/>
      <c r="J59" s="23" t="str">
        <f aca="false">IF(OR(F59="",H59=""),"",F59/H59)</f>
        <v/>
      </c>
      <c r="K59" s="14"/>
      <c r="L59" s="14"/>
      <c r="M59" s="23" t="str">
        <f aca="false">IF(OR(K59="",L59=""),"",(L59-K59)/L59)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14"/>
      <c r="I60" s="14"/>
      <c r="J60" s="23" t="str">
        <f aca="false">IF(OR(F60="",H60=""),"",F60/H60)</f>
        <v/>
      </c>
      <c r="K60" s="14"/>
      <c r="L60" s="14"/>
      <c r="M60" s="23" t="str">
        <f aca="false">IF(OR(K60="",L60=""),"",(L60-K60)/L60)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14"/>
      <c r="I61" s="14"/>
      <c r="J61" s="23" t="str">
        <f aca="false">IF(OR(F61="",H61=""),"",F61/H61)</f>
        <v/>
      </c>
      <c r="K61" s="14"/>
      <c r="L61" s="14"/>
      <c r="M61" s="23" t="str">
        <f aca="false">IF(OR(K61="",L61=""),"",(L61-K61)/L61)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14"/>
      <c r="I62" s="14"/>
      <c r="J62" s="23" t="str">
        <f aca="false">IF(OR(F62="",H62=""),"",F62/H62)</f>
        <v/>
      </c>
      <c r="K62" s="14"/>
      <c r="L62" s="14"/>
      <c r="M62" s="23" t="str">
        <f aca="false">IF(OR(K62="",L62=""),"",(L62-K62)/L62)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14"/>
      <c r="I63" s="14"/>
      <c r="J63" s="23" t="str">
        <f aca="false">IF(OR(F63="",H63=""),"",F63/H63)</f>
        <v/>
      </c>
      <c r="K63" s="14"/>
      <c r="L63" s="14"/>
      <c r="M63" s="23" t="str">
        <f aca="false">IF(OR(K63="",L63=""),"",(L63-K63)/L63)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14"/>
      <c r="I64" s="14"/>
      <c r="J64" s="23" t="str">
        <f aca="false">IF(OR(F64="",H64=""),"",F64/H64)</f>
        <v/>
      </c>
      <c r="K64" s="14"/>
      <c r="L64" s="14"/>
      <c r="M64" s="23" t="str">
        <f aca="false">IF(OR(K64="",L64=""),"",(L64-K64)/L64)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14"/>
      <c r="I65" s="14"/>
      <c r="J65" s="23" t="str">
        <f aca="false">IF(OR(F65="",H65=""),"",F65/H65)</f>
        <v/>
      </c>
      <c r="K65" s="14"/>
      <c r="L65" s="14"/>
      <c r="M65" s="23" t="str">
        <f aca="false">IF(OR(K65="",L65=""),"",(L65-K65)/L65)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14"/>
      <c r="I66" s="14"/>
      <c r="J66" s="23" t="str">
        <f aca="false">IF(OR(F66="",H66=""),"",F66/H66)</f>
        <v/>
      </c>
      <c r="K66" s="14"/>
      <c r="L66" s="14"/>
      <c r="M66" s="23" t="str">
        <f aca="false">IF(OR(K66="",L66=""),"",(L66-K66)/L66)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14"/>
      <c r="I67" s="14"/>
      <c r="J67" s="23" t="str">
        <f aca="false">IF(OR(F67="",H67=""),"",F67/H67)</f>
        <v/>
      </c>
      <c r="K67" s="14"/>
      <c r="L67" s="14"/>
      <c r="M67" s="23" t="str">
        <f aca="false">IF(OR(K67="",L67=""),"",(L67-K67)/L67)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14"/>
      <c r="I68" s="14"/>
      <c r="J68" s="23" t="str">
        <f aca="false">IF(OR(F68="",H68=""),"",F68/H68)</f>
        <v/>
      </c>
      <c r="K68" s="14"/>
      <c r="L68" s="14"/>
      <c r="M68" s="23" t="str">
        <f aca="false">IF(OR(K68="",L68=""),"",(L68-K68)/L68)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14"/>
      <c r="I69" s="14"/>
      <c r="J69" s="23" t="str">
        <f aca="false">IF(OR(F69="",H69=""),"",F69/H69)</f>
        <v/>
      </c>
      <c r="K69" s="14"/>
      <c r="L69" s="14"/>
      <c r="M69" s="23" t="str">
        <f aca="false">IF(OR(K69="",L69=""),"",(L69-K69)/L69)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14"/>
      <c r="I70" s="14"/>
      <c r="J70" s="23" t="str">
        <f aca="false">IF(OR(F70="",H70=""),"",F70/H70)</f>
        <v/>
      </c>
      <c r="K70" s="14"/>
      <c r="L70" s="14"/>
      <c r="M70" s="23" t="str">
        <f aca="false">IF(OR(K70="",L70=""),"",(L70-K70)/L70)</f>
        <v/>
      </c>
    </row>
  </sheetData>
  <mergeCells count="3">
    <mergeCell ref="A4:E4"/>
    <mergeCell ref="F4:J4"/>
    <mergeCell ref="K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4" min="3" style="0" width="12"/>
  </cols>
  <sheetData>
    <row r="1" customFormat="false" ht="16.15" hidden="false" customHeight="false" outlineLevel="0" collapsed="false">
      <c r="A1" s="1" t="s">
        <v>402</v>
      </c>
    </row>
    <row r="2" customFormat="false" ht="15" hidden="false" customHeight="false" outlineLevel="0" collapsed="false">
      <c r="A2" s="2" t="s">
        <v>403</v>
      </c>
    </row>
    <row r="4" customFormat="false" ht="15" hidden="false" customHeight="false" outlineLevel="0" collapsed="false">
      <c r="A4" s="16" t="s">
        <v>231</v>
      </c>
      <c r="B4" s="16"/>
      <c r="C4" s="16"/>
      <c r="D4" s="16"/>
      <c r="E4" s="16"/>
      <c r="F4" s="16" t="s">
        <v>404</v>
      </c>
      <c r="G4" s="16"/>
      <c r="H4" s="16"/>
      <c r="I4" s="16" t="s">
        <v>405</v>
      </c>
      <c r="J4" s="16"/>
      <c r="K4" s="16"/>
      <c r="L4" s="16"/>
      <c r="M4" s="16"/>
      <c r="N4" s="16" t="s">
        <v>80</v>
      </c>
      <c r="O4" s="16"/>
      <c r="P4" s="16"/>
      <c r="Q4" s="16"/>
      <c r="R4" s="16"/>
      <c r="S4" s="16" t="s">
        <v>406</v>
      </c>
      <c r="T4" s="16"/>
      <c r="U4" s="16"/>
      <c r="V4" s="16" t="s">
        <v>407</v>
      </c>
      <c r="W4" s="16"/>
      <c r="X4" s="16"/>
      <c r="Y4" s="16"/>
      <c r="Z4" s="16"/>
      <c r="AA4" s="16" t="s">
        <v>408</v>
      </c>
      <c r="AB4" s="16"/>
      <c r="AC4" s="16"/>
      <c r="AD4" s="16" t="s">
        <v>409</v>
      </c>
      <c r="AE4" s="16"/>
      <c r="AF4" s="16"/>
      <c r="AG4" s="16"/>
      <c r="AH4" s="16"/>
    </row>
    <row r="5" customFormat="false" ht="57.75" hidden="false" customHeight="true" outlineLevel="0" collapsed="false">
      <c r="A5" s="18" t="s">
        <v>131</v>
      </c>
      <c r="B5" s="18" t="s">
        <v>132</v>
      </c>
      <c r="C5" s="18" t="s">
        <v>133</v>
      </c>
      <c r="D5" s="18" t="s">
        <v>134</v>
      </c>
      <c r="E5" s="18" t="s">
        <v>135</v>
      </c>
      <c r="F5" s="18" t="s">
        <v>255</v>
      </c>
      <c r="G5" s="18" t="s">
        <v>258</v>
      </c>
      <c r="H5" s="18" t="s">
        <v>410</v>
      </c>
      <c r="I5" s="18" t="s">
        <v>314</v>
      </c>
      <c r="J5" s="18" t="s">
        <v>315</v>
      </c>
      <c r="K5" s="18" t="s">
        <v>316</v>
      </c>
      <c r="L5" s="18" t="s">
        <v>317</v>
      </c>
      <c r="M5" s="18" t="s">
        <v>318</v>
      </c>
      <c r="N5" s="18" t="s">
        <v>309</v>
      </c>
      <c r="O5" s="18" t="s">
        <v>310</v>
      </c>
      <c r="P5" s="18" t="s">
        <v>311</v>
      </c>
      <c r="Q5" s="18" t="s">
        <v>312</v>
      </c>
      <c r="R5" s="18" t="s">
        <v>313</v>
      </c>
      <c r="S5" s="18" t="s">
        <v>366</v>
      </c>
      <c r="T5" s="18" t="s">
        <v>367</v>
      </c>
      <c r="U5" s="18" t="s">
        <v>368</v>
      </c>
      <c r="V5" s="18" t="s">
        <v>369</v>
      </c>
      <c r="W5" s="18" t="s">
        <v>370</v>
      </c>
      <c r="X5" s="18" t="s">
        <v>373</v>
      </c>
      <c r="Y5" s="18" t="s">
        <v>374</v>
      </c>
      <c r="Z5" s="18" t="s">
        <v>377</v>
      </c>
      <c r="AA5" s="18" t="s">
        <v>378</v>
      </c>
      <c r="AB5" s="18" t="s">
        <v>379</v>
      </c>
      <c r="AC5" s="18" t="s">
        <v>380</v>
      </c>
      <c r="AD5" s="18" t="s">
        <v>381</v>
      </c>
      <c r="AE5" s="18" t="s">
        <v>382</v>
      </c>
      <c r="AF5" s="18" t="s">
        <v>385</v>
      </c>
      <c r="AG5" s="18" t="s">
        <v>386</v>
      </c>
      <c r="AH5" s="18" t="s">
        <v>389</v>
      </c>
    </row>
    <row r="6" customFormat="false" ht="15" hidden="false" customHeight="false" outlineLevel="0" collapsed="false">
      <c r="A6" s="19" t="s">
        <v>246</v>
      </c>
      <c r="B6" s="20" t="s">
        <v>247</v>
      </c>
      <c r="C6" s="20" t="s">
        <v>248</v>
      </c>
      <c r="D6" s="20" t="n">
        <v>150</v>
      </c>
      <c r="E6" s="20" t="n">
        <v>0</v>
      </c>
      <c r="F6" s="21" t="n">
        <v>0.61</v>
      </c>
      <c r="G6" s="21" t="n">
        <v>0.18</v>
      </c>
      <c r="H6" s="22" t="n">
        <f aca="false">IF(OR(F6="",G6=""),"",G6/F6)</f>
        <v>0.295081967213115</v>
      </c>
      <c r="I6" s="21" t="n">
        <v>0.5</v>
      </c>
      <c r="J6" s="21" t="n">
        <v>5</v>
      </c>
      <c r="K6" s="21" t="n">
        <v>0.385</v>
      </c>
      <c r="L6" s="21" t="n">
        <v>0.042</v>
      </c>
      <c r="M6" s="22" t="n">
        <f aca="false">IF(OR(K6="",L6="",I6="",J6=""),"",((K6-L6)/155)*1000*J6/I6)</f>
        <v>22.1290322580645</v>
      </c>
      <c r="N6" s="21" t="n">
        <v>0.5</v>
      </c>
      <c r="O6" s="21" t="n">
        <v>0.42</v>
      </c>
      <c r="P6" s="21" t="n">
        <v>4</v>
      </c>
      <c r="Q6" s="22" t="str">
        <f aca="false">IF(OR(ISNUMBER(Std_Curves!$B$13)=FALSE()),"",IF(OR(O6=""),"",(O6-Std_Curves!$B$14)/Std_Curves!$B$13))</f>
        <v/>
      </c>
      <c r="R6" s="22" t="str">
        <f aca="false">IF(OR(Q6="",P6="",N6=""),"",(Q6*P6/115.13)/(N6/5))</f>
        <v/>
      </c>
      <c r="S6" s="21" t="n">
        <v>0.2</v>
      </c>
      <c r="T6" s="21" t="n">
        <v>50</v>
      </c>
      <c r="U6" s="21" t="n">
        <v>1</v>
      </c>
      <c r="V6" s="21" t="n">
        <v>48</v>
      </c>
      <c r="W6" s="21" t="n">
        <v>96</v>
      </c>
      <c r="X6" s="22" t="n">
        <f aca="false">IF(OR(V6="",S6="",T6="",U6=""),"",V6*T6/1000*U6/S6)</f>
        <v>12</v>
      </c>
      <c r="Y6" s="22" t="n">
        <f aca="false">IF(OR(W6="",S6="",T6="",U6=""),"",W6*T6/1000*U6/S6)</f>
        <v>24</v>
      </c>
      <c r="Z6" s="22" t="n">
        <f aca="false">IF(OR(X6="",Y6=""),"",(Y6/39.1)/(X6/22.99))</f>
        <v>1.17595907928389</v>
      </c>
      <c r="AA6" s="21" t="n">
        <v>0.2</v>
      </c>
      <c r="AB6" s="21" t="n">
        <v>50</v>
      </c>
      <c r="AC6" s="21" t="n">
        <v>1</v>
      </c>
      <c r="AD6" s="21" t="n">
        <v>70</v>
      </c>
      <c r="AE6" s="21" t="n">
        <v>52</v>
      </c>
      <c r="AF6" s="22" t="n">
        <f aca="false">IF(OR(AD6="",AA6="",AB6="",AC6=""),"",AD6*AB6/1000*AC6/AA6)</f>
        <v>17.5</v>
      </c>
      <c r="AG6" s="22" t="n">
        <f aca="false">IF(OR(AE6="",AA6="",AB6="",AC6=""),"",AE6*AB6/1000*AC6/AA6)</f>
        <v>13</v>
      </c>
      <c r="AH6" s="22" t="n">
        <f aca="false">IF(OR(AF6="",AG6=""),"",(AG6/39.1)/(AF6/22.99))</f>
        <v>0.436784800876873</v>
      </c>
    </row>
    <row r="7" customFormat="false" ht="15" hidden="false" customHeight="false" outlineLevel="0" collapsed="false">
      <c r="A7" s="13" t="s">
        <v>145</v>
      </c>
      <c r="B7" s="13" t="s">
        <v>146</v>
      </c>
      <c r="C7" s="13" t="s">
        <v>147</v>
      </c>
      <c r="D7" s="13" t="n">
        <v>0</v>
      </c>
      <c r="E7" s="13" t="n">
        <v>1</v>
      </c>
      <c r="F7" s="14"/>
      <c r="G7" s="14"/>
      <c r="H7" s="23" t="str">
        <f aca="false">IF(OR(F7="",G7=""),"",G7/F7)</f>
        <v/>
      </c>
      <c r="I7" s="14"/>
      <c r="J7" s="14"/>
      <c r="K7" s="14"/>
      <c r="L7" s="14"/>
      <c r="M7" s="23" t="str">
        <f aca="false">IF(OR(K7="",L7="",I7="",J7=""),"",((K7-L7)/155)*1000*J7/I7)</f>
        <v/>
      </c>
      <c r="N7" s="14"/>
      <c r="O7" s="14"/>
      <c r="P7" s="14"/>
      <c r="Q7" s="23" t="str">
        <f aca="false">IF(OR(ISNUMBER(Std_Curves!$B$13)=FALSE()),"",IF(OR(O7=""),"",(O7-Std_Curves!$B$14)/Std_Curves!$B$13))</f>
        <v/>
      </c>
      <c r="R7" s="23" t="str">
        <f aca="false">IF(OR(Q7="",P7="",N7=""),"",(Q7*P7/115.13)/(N7/5))</f>
        <v/>
      </c>
      <c r="S7" s="14"/>
      <c r="T7" s="14"/>
      <c r="U7" s="14"/>
      <c r="V7" s="14"/>
      <c r="W7" s="14"/>
      <c r="X7" s="23" t="str">
        <f aca="false">IF(OR(V7="",S7="",T7="",U7=""),"",V7*T7/1000*U7/S7)</f>
        <v/>
      </c>
      <c r="Y7" s="23" t="str">
        <f aca="false">IF(OR(W7="",S7="",T7="",U7=""),"",W7*T7/1000*U7/S7)</f>
        <v/>
      </c>
      <c r="Z7" s="23" t="str">
        <f aca="false">IF(OR(X7="",Y7=""),"",(Y7/39.1)/(X7/22.99))</f>
        <v/>
      </c>
      <c r="AA7" s="14"/>
      <c r="AB7" s="14"/>
      <c r="AC7" s="14"/>
      <c r="AD7" s="14"/>
      <c r="AE7" s="14"/>
      <c r="AF7" s="23" t="str">
        <f aca="false">IF(OR(AD7="",AA7="",AB7="",AC7=""),"",AD7*AB7/1000*AC7/AA7)</f>
        <v/>
      </c>
      <c r="AG7" s="23" t="str">
        <f aca="false">IF(OR(AE7="",AA7="",AB7="",AC7=""),"",AE7*AB7/1000*AC7/AA7)</f>
        <v/>
      </c>
      <c r="AH7" s="23" t="str">
        <f aca="false">IF(OR(AF7="",AG7=""),"",(AG7/39.1)/(AF7/22.99))</f>
        <v/>
      </c>
    </row>
    <row r="8" customFormat="false" ht="15" hidden="false" customHeight="false" outlineLevel="0" collapsed="false">
      <c r="A8" s="13" t="s">
        <v>148</v>
      </c>
      <c r="B8" s="13" t="s">
        <v>146</v>
      </c>
      <c r="C8" s="13" t="s">
        <v>147</v>
      </c>
      <c r="D8" s="13" t="n">
        <v>0</v>
      </c>
      <c r="E8" s="13" t="n">
        <v>2</v>
      </c>
      <c r="F8" s="14"/>
      <c r="G8" s="14"/>
      <c r="H8" s="23" t="str">
        <f aca="false">IF(OR(F8="",G8=""),"",G8/F8)</f>
        <v/>
      </c>
      <c r="I8" s="14"/>
      <c r="J8" s="14"/>
      <c r="K8" s="14"/>
      <c r="L8" s="14"/>
      <c r="M8" s="23" t="str">
        <f aca="false">IF(OR(K8="",L8="",I8="",J8=""),"",((K8-L8)/155)*1000*J8/I8)</f>
        <v/>
      </c>
      <c r="N8" s="14"/>
      <c r="O8" s="14"/>
      <c r="P8" s="14"/>
      <c r="Q8" s="23" t="str">
        <f aca="false">IF(OR(ISNUMBER(Std_Curves!$B$13)=FALSE()),"",IF(OR(O8=""),"",(O8-Std_Curves!$B$14)/Std_Curves!$B$13))</f>
        <v/>
      </c>
      <c r="R8" s="23" t="str">
        <f aca="false">IF(OR(Q8="",P8="",N8=""),"",(Q8*P8/115.13)/(N8/5))</f>
        <v/>
      </c>
      <c r="S8" s="14"/>
      <c r="T8" s="14"/>
      <c r="U8" s="14"/>
      <c r="V8" s="14"/>
      <c r="W8" s="14"/>
      <c r="X8" s="23" t="str">
        <f aca="false">IF(OR(V8="",S8="",T8="",U8=""),"",V8*T8/1000*U8/S8)</f>
        <v/>
      </c>
      <c r="Y8" s="23" t="str">
        <f aca="false">IF(OR(W8="",S8="",T8="",U8=""),"",W8*T8/1000*U8/S8)</f>
        <v/>
      </c>
      <c r="Z8" s="23" t="str">
        <f aca="false">IF(OR(X8="",Y8=""),"",(Y8/39.1)/(X8/22.99))</f>
        <v/>
      </c>
      <c r="AA8" s="14"/>
      <c r="AB8" s="14"/>
      <c r="AC8" s="14"/>
      <c r="AD8" s="14"/>
      <c r="AE8" s="14"/>
      <c r="AF8" s="23" t="str">
        <f aca="false">IF(OR(AD8="",AA8="",AB8="",AC8=""),"",AD8*AB8/1000*AC8/AA8)</f>
        <v/>
      </c>
      <c r="AG8" s="23" t="str">
        <f aca="false">IF(OR(AE8="",AA8="",AB8="",AC8=""),"",AE8*AB8/1000*AC8/AA8)</f>
        <v/>
      </c>
      <c r="AH8" s="23" t="str">
        <f aca="false">IF(OR(AF8="",AG8=""),"",(AG8/39.1)/(AF8/22.99))</f>
        <v/>
      </c>
    </row>
    <row r="9" customFormat="false" ht="15" hidden="false" customHeight="false" outlineLevel="0" collapsed="false">
      <c r="A9" s="13" t="s">
        <v>149</v>
      </c>
      <c r="B9" s="13" t="s">
        <v>146</v>
      </c>
      <c r="C9" s="13" t="s">
        <v>147</v>
      </c>
      <c r="D9" s="13" t="n">
        <v>0</v>
      </c>
      <c r="E9" s="13" t="n">
        <v>3</v>
      </c>
      <c r="F9" s="14"/>
      <c r="G9" s="14"/>
      <c r="H9" s="23" t="str">
        <f aca="false">IF(OR(F9="",G9=""),"",G9/F9)</f>
        <v/>
      </c>
      <c r="I9" s="14"/>
      <c r="J9" s="14"/>
      <c r="K9" s="14"/>
      <c r="L9" s="14"/>
      <c r="M9" s="23" t="str">
        <f aca="false">IF(OR(K9="",L9="",I9="",J9=""),"",((K9-L9)/155)*1000*J9/I9)</f>
        <v/>
      </c>
      <c r="N9" s="14"/>
      <c r="O9" s="14"/>
      <c r="P9" s="14"/>
      <c r="Q9" s="23" t="str">
        <f aca="false">IF(OR(ISNUMBER(Std_Curves!$B$13)=FALSE()),"",IF(OR(O9=""),"",(O9-Std_Curves!$B$14)/Std_Curves!$B$13))</f>
        <v/>
      </c>
      <c r="R9" s="23" t="str">
        <f aca="false">IF(OR(Q9="",P9="",N9=""),"",(Q9*P9/115.13)/(N9/5))</f>
        <v/>
      </c>
      <c r="S9" s="14"/>
      <c r="T9" s="14"/>
      <c r="U9" s="14"/>
      <c r="V9" s="14"/>
      <c r="W9" s="14"/>
      <c r="X9" s="23" t="str">
        <f aca="false">IF(OR(V9="",S9="",T9="",U9=""),"",V9*T9/1000*U9/S9)</f>
        <v/>
      </c>
      <c r="Y9" s="23" t="str">
        <f aca="false">IF(OR(W9="",S9="",T9="",U9=""),"",W9*T9/1000*U9/S9)</f>
        <v/>
      </c>
      <c r="Z9" s="23" t="str">
        <f aca="false">IF(OR(X9="",Y9=""),"",(Y9/39.1)/(X9/22.99))</f>
        <v/>
      </c>
      <c r="AA9" s="14"/>
      <c r="AB9" s="14"/>
      <c r="AC9" s="14"/>
      <c r="AD9" s="14"/>
      <c r="AE9" s="14"/>
      <c r="AF9" s="23" t="str">
        <f aca="false">IF(OR(AD9="",AA9="",AB9="",AC9=""),"",AD9*AB9/1000*AC9/AA9)</f>
        <v/>
      </c>
      <c r="AG9" s="23" t="str">
        <f aca="false">IF(OR(AE9="",AA9="",AB9="",AC9=""),"",AE9*AB9/1000*AC9/AA9)</f>
        <v/>
      </c>
      <c r="AH9" s="23" t="str">
        <f aca="false">IF(OR(AF9="",AG9=""),"",(AG9/39.1)/(AF9/22.99))</f>
        <v/>
      </c>
    </row>
    <row r="10" customFormat="false" ht="15" hidden="false" customHeight="false" outlineLevel="0" collapsed="false">
      <c r="A10" s="13" t="s">
        <v>150</v>
      </c>
      <c r="B10" s="13" t="s">
        <v>146</v>
      </c>
      <c r="C10" s="13" t="s">
        <v>147</v>
      </c>
      <c r="D10" s="13" t="n">
        <v>0</v>
      </c>
      <c r="E10" s="13" t="n">
        <v>4</v>
      </c>
      <c r="F10" s="14"/>
      <c r="G10" s="14"/>
      <c r="H10" s="23" t="str">
        <f aca="false">IF(OR(F10="",G10=""),"",G10/F10)</f>
        <v/>
      </c>
      <c r="I10" s="14"/>
      <c r="J10" s="14"/>
      <c r="K10" s="14"/>
      <c r="L10" s="14"/>
      <c r="M10" s="23" t="str">
        <f aca="false">IF(OR(K10="",L10="",I10="",J10=""),"",((K10-L10)/155)*1000*J10/I10)</f>
        <v/>
      </c>
      <c r="N10" s="14"/>
      <c r="O10" s="14"/>
      <c r="P10" s="14"/>
      <c r="Q10" s="23" t="str">
        <f aca="false">IF(OR(ISNUMBER(Std_Curves!$B$13)=FALSE()),"",IF(OR(O10=""),"",(O10-Std_Curves!$B$14)/Std_Curves!$B$13))</f>
        <v/>
      </c>
      <c r="R10" s="23" t="str">
        <f aca="false">IF(OR(Q10="",P10="",N10=""),"",(Q10*P10/115.13)/(N10/5))</f>
        <v/>
      </c>
      <c r="S10" s="14"/>
      <c r="T10" s="14"/>
      <c r="U10" s="14"/>
      <c r="V10" s="14"/>
      <c r="W10" s="14"/>
      <c r="X10" s="23" t="str">
        <f aca="false">IF(OR(V10="",S10="",T10="",U10=""),"",V10*T10/1000*U10/S10)</f>
        <v/>
      </c>
      <c r="Y10" s="23" t="str">
        <f aca="false">IF(OR(W10="",S10="",T10="",U10=""),"",W10*T10/1000*U10/S10)</f>
        <v/>
      </c>
      <c r="Z10" s="23" t="str">
        <f aca="false">IF(OR(X10="",Y10=""),"",(Y10/39.1)/(X10/22.99))</f>
        <v/>
      </c>
      <c r="AA10" s="14"/>
      <c r="AB10" s="14"/>
      <c r="AC10" s="14"/>
      <c r="AD10" s="14"/>
      <c r="AE10" s="14"/>
      <c r="AF10" s="23" t="str">
        <f aca="false">IF(OR(AD10="",AA10="",AB10="",AC10=""),"",AD10*AB10/1000*AC10/AA10)</f>
        <v/>
      </c>
      <c r="AG10" s="23" t="str">
        <f aca="false">IF(OR(AE10="",AA10="",AB10="",AC10=""),"",AE10*AB10/1000*AC10/AA10)</f>
        <v/>
      </c>
      <c r="AH10" s="23" t="str">
        <f aca="false">IF(OR(AF10="",AG10=""),"",(AG10/39.1)/(AF10/22.99))</f>
        <v/>
      </c>
    </row>
    <row r="11" customFormat="false" ht="15" hidden="false" customHeight="false" outlineLevel="0" collapsed="false">
      <c r="A11" s="13" t="s">
        <v>151</v>
      </c>
      <c r="B11" s="13" t="s">
        <v>152</v>
      </c>
      <c r="C11" s="13" t="s">
        <v>147</v>
      </c>
      <c r="D11" s="13" t="n">
        <v>50</v>
      </c>
      <c r="E11" s="13" t="n">
        <v>1</v>
      </c>
      <c r="F11" s="14"/>
      <c r="G11" s="14"/>
      <c r="H11" s="23" t="str">
        <f aca="false">IF(OR(F11="",G11=""),"",G11/F11)</f>
        <v/>
      </c>
      <c r="I11" s="14"/>
      <c r="J11" s="14"/>
      <c r="K11" s="14"/>
      <c r="L11" s="14"/>
      <c r="M11" s="23" t="str">
        <f aca="false">IF(OR(K11="",L11="",I11="",J11=""),"",((K11-L11)/155)*1000*J11/I11)</f>
        <v/>
      </c>
      <c r="N11" s="14"/>
      <c r="O11" s="14"/>
      <c r="P11" s="14"/>
      <c r="Q11" s="23" t="str">
        <f aca="false">IF(OR(ISNUMBER(Std_Curves!$B$13)=FALSE()),"",IF(OR(O11=""),"",(O11-Std_Curves!$B$14)/Std_Curves!$B$13))</f>
        <v/>
      </c>
      <c r="R11" s="23" t="str">
        <f aca="false">IF(OR(Q11="",P11="",N11=""),"",(Q11*P11/115.13)/(N11/5))</f>
        <v/>
      </c>
      <c r="S11" s="14"/>
      <c r="T11" s="14"/>
      <c r="U11" s="14"/>
      <c r="V11" s="14"/>
      <c r="W11" s="14"/>
      <c r="X11" s="23" t="str">
        <f aca="false">IF(OR(V11="",S11="",T11="",U11=""),"",V11*T11/1000*U11/S11)</f>
        <v/>
      </c>
      <c r="Y11" s="23" t="str">
        <f aca="false">IF(OR(W11="",S11="",T11="",U11=""),"",W11*T11/1000*U11/S11)</f>
        <v/>
      </c>
      <c r="Z11" s="23" t="str">
        <f aca="false">IF(OR(X11="",Y11=""),"",(Y11/39.1)/(X11/22.99))</f>
        <v/>
      </c>
      <c r="AA11" s="14"/>
      <c r="AB11" s="14"/>
      <c r="AC11" s="14"/>
      <c r="AD11" s="14"/>
      <c r="AE11" s="14"/>
      <c r="AF11" s="23" t="str">
        <f aca="false">IF(OR(AD11="",AA11="",AB11="",AC11=""),"",AD11*AB11/1000*AC11/AA11)</f>
        <v/>
      </c>
      <c r="AG11" s="23" t="str">
        <f aca="false">IF(OR(AE11="",AA11="",AB11="",AC11=""),"",AE11*AB11/1000*AC11/AA11)</f>
        <v/>
      </c>
      <c r="AH11" s="23" t="str">
        <f aca="false">IF(OR(AF11="",AG11=""),"",(AG11/39.1)/(AF11/22.99))</f>
        <v/>
      </c>
    </row>
    <row r="12" customFormat="false" ht="15" hidden="false" customHeight="false" outlineLevel="0" collapsed="false">
      <c r="A12" s="13" t="s">
        <v>153</v>
      </c>
      <c r="B12" s="13" t="s">
        <v>152</v>
      </c>
      <c r="C12" s="13" t="s">
        <v>147</v>
      </c>
      <c r="D12" s="13" t="n">
        <v>50</v>
      </c>
      <c r="E12" s="13" t="n">
        <v>2</v>
      </c>
      <c r="F12" s="14"/>
      <c r="G12" s="14"/>
      <c r="H12" s="23" t="str">
        <f aca="false">IF(OR(F12="",G12=""),"",G12/F12)</f>
        <v/>
      </c>
      <c r="I12" s="14"/>
      <c r="J12" s="14"/>
      <c r="K12" s="14"/>
      <c r="L12" s="14"/>
      <c r="M12" s="23" t="str">
        <f aca="false">IF(OR(K12="",L12="",I12="",J12=""),"",((K12-L12)/155)*1000*J12/I12)</f>
        <v/>
      </c>
      <c r="N12" s="14"/>
      <c r="O12" s="14"/>
      <c r="P12" s="14"/>
      <c r="Q12" s="23" t="str">
        <f aca="false">IF(OR(ISNUMBER(Std_Curves!$B$13)=FALSE()),"",IF(OR(O12=""),"",(O12-Std_Curves!$B$14)/Std_Curves!$B$13))</f>
        <v/>
      </c>
      <c r="R12" s="23" t="str">
        <f aca="false">IF(OR(Q12="",P12="",N12=""),"",(Q12*P12/115.13)/(N12/5))</f>
        <v/>
      </c>
      <c r="S12" s="14"/>
      <c r="T12" s="14"/>
      <c r="U12" s="14"/>
      <c r="V12" s="14"/>
      <c r="W12" s="14"/>
      <c r="X12" s="23" t="str">
        <f aca="false">IF(OR(V12="",S12="",T12="",U12=""),"",V12*T12/1000*U12/S12)</f>
        <v/>
      </c>
      <c r="Y12" s="23" t="str">
        <f aca="false">IF(OR(W12="",S12="",T12="",U12=""),"",W12*T12/1000*U12/S12)</f>
        <v/>
      </c>
      <c r="Z12" s="23" t="str">
        <f aca="false">IF(OR(X12="",Y12=""),"",(Y12/39.1)/(X12/22.99))</f>
        <v/>
      </c>
      <c r="AA12" s="14"/>
      <c r="AB12" s="14"/>
      <c r="AC12" s="14"/>
      <c r="AD12" s="14"/>
      <c r="AE12" s="14"/>
      <c r="AF12" s="23" t="str">
        <f aca="false">IF(OR(AD12="",AA12="",AB12="",AC12=""),"",AD12*AB12/1000*AC12/AA12)</f>
        <v/>
      </c>
      <c r="AG12" s="23" t="str">
        <f aca="false">IF(OR(AE12="",AA12="",AB12="",AC12=""),"",AE12*AB12/1000*AC12/AA12)</f>
        <v/>
      </c>
      <c r="AH12" s="23" t="str">
        <f aca="false">IF(OR(AF12="",AG12=""),"",(AG12/39.1)/(AF12/22.99))</f>
        <v/>
      </c>
    </row>
    <row r="13" customFormat="false" ht="15" hidden="false" customHeight="false" outlineLevel="0" collapsed="false">
      <c r="A13" s="13" t="s">
        <v>154</v>
      </c>
      <c r="B13" s="13" t="s">
        <v>152</v>
      </c>
      <c r="C13" s="13" t="s">
        <v>147</v>
      </c>
      <c r="D13" s="13" t="n">
        <v>50</v>
      </c>
      <c r="E13" s="13" t="n">
        <v>3</v>
      </c>
      <c r="F13" s="14"/>
      <c r="G13" s="14"/>
      <c r="H13" s="23" t="str">
        <f aca="false">IF(OR(F13="",G13=""),"",G13/F13)</f>
        <v/>
      </c>
      <c r="I13" s="14"/>
      <c r="J13" s="14"/>
      <c r="K13" s="14"/>
      <c r="L13" s="14"/>
      <c r="M13" s="23" t="str">
        <f aca="false">IF(OR(K13="",L13="",I13="",J13=""),"",((K13-L13)/155)*1000*J13/I13)</f>
        <v/>
      </c>
      <c r="N13" s="14"/>
      <c r="O13" s="14"/>
      <c r="P13" s="14"/>
      <c r="Q13" s="23" t="str">
        <f aca="false">IF(OR(ISNUMBER(Std_Curves!$B$13)=FALSE()),"",IF(OR(O13=""),"",(O13-Std_Curves!$B$14)/Std_Curves!$B$13))</f>
        <v/>
      </c>
      <c r="R13" s="23" t="str">
        <f aca="false">IF(OR(Q13="",P13="",N13=""),"",(Q13*P13/115.13)/(N13/5))</f>
        <v/>
      </c>
      <c r="S13" s="14"/>
      <c r="T13" s="14"/>
      <c r="U13" s="14"/>
      <c r="V13" s="14"/>
      <c r="W13" s="14"/>
      <c r="X13" s="23" t="str">
        <f aca="false">IF(OR(V13="",S13="",T13="",U13=""),"",V13*T13/1000*U13/S13)</f>
        <v/>
      </c>
      <c r="Y13" s="23" t="str">
        <f aca="false">IF(OR(W13="",S13="",T13="",U13=""),"",W13*T13/1000*U13/S13)</f>
        <v/>
      </c>
      <c r="Z13" s="23" t="str">
        <f aca="false">IF(OR(X13="",Y13=""),"",(Y13/39.1)/(X13/22.99))</f>
        <v/>
      </c>
      <c r="AA13" s="14"/>
      <c r="AB13" s="14"/>
      <c r="AC13" s="14"/>
      <c r="AD13" s="14"/>
      <c r="AE13" s="14"/>
      <c r="AF13" s="23" t="str">
        <f aca="false">IF(OR(AD13="",AA13="",AB13="",AC13=""),"",AD13*AB13/1000*AC13/AA13)</f>
        <v/>
      </c>
      <c r="AG13" s="23" t="str">
        <f aca="false">IF(OR(AE13="",AA13="",AB13="",AC13=""),"",AE13*AB13/1000*AC13/AA13)</f>
        <v/>
      </c>
      <c r="AH13" s="23" t="str">
        <f aca="false">IF(OR(AF13="",AG13=""),"",(AG13/39.1)/(AF13/22.99))</f>
        <v/>
      </c>
    </row>
    <row r="14" customFormat="false" ht="15" hidden="false" customHeight="false" outlineLevel="0" collapsed="false">
      <c r="A14" s="13" t="s">
        <v>155</v>
      </c>
      <c r="B14" s="13" t="s">
        <v>152</v>
      </c>
      <c r="C14" s="13" t="s">
        <v>147</v>
      </c>
      <c r="D14" s="13" t="n">
        <v>50</v>
      </c>
      <c r="E14" s="13" t="n">
        <v>4</v>
      </c>
      <c r="F14" s="14"/>
      <c r="G14" s="14"/>
      <c r="H14" s="23" t="str">
        <f aca="false">IF(OR(F14="",G14=""),"",G14/F14)</f>
        <v/>
      </c>
      <c r="I14" s="14"/>
      <c r="J14" s="14"/>
      <c r="K14" s="14"/>
      <c r="L14" s="14"/>
      <c r="M14" s="23" t="str">
        <f aca="false">IF(OR(K14="",L14="",I14="",J14=""),"",((K14-L14)/155)*1000*J14/I14)</f>
        <v/>
      </c>
      <c r="N14" s="14"/>
      <c r="O14" s="14"/>
      <c r="P14" s="14"/>
      <c r="Q14" s="23" t="str">
        <f aca="false">IF(OR(ISNUMBER(Std_Curves!$B$13)=FALSE()),"",IF(OR(O14=""),"",(O14-Std_Curves!$B$14)/Std_Curves!$B$13))</f>
        <v/>
      </c>
      <c r="R14" s="23" t="str">
        <f aca="false">IF(OR(Q14="",P14="",N14=""),"",(Q14*P14/115.13)/(N14/5))</f>
        <v/>
      </c>
      <c r="S14" s="14"/>
      <c r="T14" s="14"/>
      <c r="U14" s="14"/>
      <c r="V14" s="14"/>
      <c r="W14" s="14"/>
      <c r="X14" s="23" t="str">
        <f aca="false">IF(OR(V14="",S14="",T14="",U14=""),"",V14*T14/1000*U14/S14)</f>
        <v/>
      </c>
      <c r="Y14" s="23" t="str">
        <f aca="false">IF(OR(W14="",S14="",T14="",U14=""),"",W14*T14/1000*U14/S14)</f>
        <v/>
      </c>
      <c r="Z14" s="23" t="str">
        <f aca="false">IF(OR(X14="",Y14=""),"",(Y14/39.1)/(X14/22.99))</f>
        <v/>
      </c>
      <c r="AA14" s="14"/>
      <c r="AB14" s="14"/>
      <c r="AC14" s="14"/>
      <c r="AD14" s="14"/>
      <c r="AE14" s="14"/>
      <c r="AF14" s="23" t="str">
        <f aca="false">IF(OR(AD14="",AA14="",AB14="",AC14=""),"",AD14*AB14/1000*AC14/AA14)</f>
        <v/>
      </c>
      <c r="AG14" s="23" t="str">
        <f aca="false">IF(OR(AE14="",AA14="",AB14="",AC14=""),"",AE14*AB14/1000*AC14/AA14)</f>
        <v/>
      </c>
      <c r="AH14" s="23" t="str">
        <f aca="false">IF(OR(AF14="",AG14=""),"",(AG14/39.1)/(AF14/22.99))</f>
        <v/>
      </c>
    </row>
    <row r="15" customFormat="false" ht="15" hidden="false" customHeight="false" outlineLevel="0" collapsed="false">
      <c r="A15" s="13" t="s">
        <v>156</v>
      </c>
      <c r="B15" s="13" t="s">
        <v>157</v>
      </c>
      <c r="C15" s="13" t="s">
        <v>147</v>
      </c>
      <c r="D15" s="13" t="n">
        <v>100</v>
      </c>
      <c r="E15" s="13" t="n">
        <v>1</v>
      </c>
      <c r="F15" s="14"/>
      <c r="G15" s="14"/>
      <c r="H15" s="23" t="str">
        <f aca="false">IF(OR(F15="",G15=""),"",G15/F15)</f>
        <v/>
      </c>
      <c r="I15" s="14"/>
      <c r="J15" s="14"/>
      <c r="K15" s="14"/>
      <c r="L15" s="14"/>
      <c r="M15" s="23" t="str">
        <f aca="false">IF(OR(K15="",L15="",I15="",J15=""),"",((K15-L15)/155)*1000*J15/I15)</f>
        <v/>
      </c>
      <c r="N15" s="14"/>
      <c r="O15" s="14"/>
      <c r="P15" s="14"/>
      <c r="Q15" s="23" t="str">
        <f aca="false">IF(OR(ISNUMBER(Std_Curves!$B$13)=FALSE()),"",IF(OR(O15=""),"",(O15-Std_Curves!$B$14)/Std_Curves!$B$13))</f>
        <v/>
      </c>
      <c r="R15" s="23" t="str">
        <f aca="false">IF(OR(Q15="",P15="",N15=""),"",(Q15*P15/115.13)/(N15/5))</f>
        <v/>
      </c>
      <c r="S15" s="14"/>
      <c r="T15" s="14"/>
      <c r="U15" s="14"/>
      <c r="V15" s="14"/>
      <c r="W15" s="14"/>
      <c r="X15" s="23" t="str">
        <f aca="false">IF(OR(V15="",S15="",T15="",U15=""),"",V15*T15/1000*U15/S15)</f>
        <v/>
      </c>
      <c r="Y15" s="23" t="str">
        <f aca="false">IF(OR(W15="",S15="",T15="",U15=""),"",W15*T15/1000*U15/S15)</f>
        <v/>
      </c>
      <c r="Z15" s="23" t="str">
        <f aca="false">IF(OR(X15="",Y15=""),"",(Y15/39.1)/(X15/22.99))</f>
        <v/>
      </c>
      <c r="AA15" s="14"/>
      <c r="AB15" s="14"/>
      <c r="AC15" s="14"/>
      <c r="AD15" s="14"/>
      <c r="AE15" s="14"/>
      <c r="AF15" s="23" t="str">
        <f aca="false">IF(OR(AD15="",AA15="",AB15="",AC15=""),"",AD15*AB15/1000*AC15/AA15)</f>
        <v/>
      </c>
      <c r="AG15" s="23" t="str">
        <f aca="false">IF(OR(AE15="",AA15="",AB15="",AC15=""),"",AE15*AB15/1000*AC15/AA15)</f>
        <v/>
      </c>
      <c r="AH15" s="23" t="str">
        <f aca="false">IF(OR(AF15="",AG15=""),"",(AG15/39.1)/(AF15/22.99))</f>
        <v/>
      </c>
    </row>
    <row r="16" customFormat="false" ht="15" hidden="false" customHeight="false" outlineLevel="0" collapsed="false">
      <c r="A16" s="13" t="s">
        <v>158</v>
      </c>
      <c r="B16" s="13" t="s">
        <v>157</v>
      </c>
      <c r="C16" s="13" t="s">
        <v>147</v>
      </c>
      <c r="D16" s="13" t="n">
        <v>100</v>
      </c>
      <c r="E16" s="13" t="n">
        <v>2</v>
      </c>
      <c r="F16" s="14"/>
      <c r="G16" s="14"/>
      <c r="H16" s="23" t="str">
        <f aca="false">IF(OR(F16="",G16=""),"",G16/F16)</f>
        <v/>
      </c>
      <c r="I16" s="14"/>
      <c r="J16" s="14"/>
      <c r="K16" s="14"/>
      <c r="L16" s="14"/>
      <c r="M16" s="23" t="str">
        <f aca="false">IF(OR(K16="",L16="",I16="",J16=""),"",((K16-L16)/155)*1000*J16/I16)</f>
        <v/>
      </c>
      <c r="N16" s="14"/>
      <c r="O16" s="14"/>
      <c r="P16" s="14"/>
      <c r="Q16" s="23" t="str">
        <f aca="false">IF(OR(ISNUMBER(Std_Curves!$B$13)=FALSE()),"",IF(OR(O16=""),"",(O16-Std_Curves!$B$14)/Std_Curves!$B$13))</f>
        <v/>
      </c>
      <c r="R16" s="23" t="str">
        <f aca="false">IF(OR(Q16="",P16="",N16=""),"",(Q16*P16/115.13)/(N16/5))</f>
        <v/>
      </c>
      <c r="S16" s="14"/>
      <c r="T16" s="14"/>
      <c r="U16" s="14"/>
      <c r="V16" s="14"/>
      <c r="W16" s="14"/>
      <c r="X16" s="23" t="str">
        <f aca="false">IF(OR(V16="",S16="",T16="",U16=""),"",V16*T16/1000*U16/S16)</f>
        <v/>
      </c>
      <c r="Y16" s="23" t="str">
        <f aca="false">IF(OR(W16="",S16="",T16="",U16=""),"",W16*T16/1000*U16/S16)</f>
        <v/>
      </c>
      <c r="Z16" s="23" t="str">
        <f aca="false">IF(OR(X16="",Y16=""),"",(Y16/39.1)/(X16/22.99))</f>
        <v/>
      </c>
      <c r="AA16" s="14"/>
      <c r="AB16" s="14"/>
      <c r="AC16" s="14"/>
      <c r="AD16" s="14"/>
      <c r="AE16" s="14"/>
      <c r="AF16" s="23" t="str">
        <f aca="false">IF(OR(AD16="",AA16="",AB16="",AC16=""),"",AD16*AB16/1000*AC16/AA16)</f>
        <v/>
      </c>
      <c r="AG16" s="23" t="str">
        <f aca="false">IF(OR(AE16="",AA16="",AB16="",AC16=""),"",AE16*AB16/1000*AC16/AA16)</f>
        <v/>
      </c>
      <c r="AH16" s="23" t="str">
        <f aca="false">IF(OR(AF16="",AG16=""),"",(AG16/39.1)/(AF16/22.99))</f>
        <v/>
      </c>
    </row>
    <row r="17" customFormat="false" ht="15" hidden="false" customHeight="false" outlineLevel="0" collapsed="false">
      <c r="A17" s="13" t="s">
        <v>159</v>
      </c>
      <c r="B17" s="13" t="s">
        <v>157</v>
      </c>
      <c r="C17" s="13" t="s">
        <v>147</v>
      </c>
      <c r="D17" s="13" t="n">
        <v>100</v>
      </c>
      <c r="E17" s="13" t="n">
        <v>3</v>
      </c>
      <c r="F17" s="14"/>
      <c r="G17" s="14"/>
      <c r="H17" s="23" t="str">
        <f aca="false">IF(OR(F17="",G17=""),"",G17/F17)</f>
        <v/>
      </c>
      <c r="I17" s="14"/>
      <c r="J17" s="14"/>
      <c r="K17" s="14"/>
      <c r="L17" s="14"/>
      <c r="M17" s="23" t="str">
        <f aca="false">IF(OR(K17="",L17="",I17="",J17=""),"",((K17-L17)/155)*1000*J17/I17)</f>
        <v/>
      </c>
      <c r="N17" s="14"/>
      <c r="O17" s="14"/>
      <c r="P17" s="14"/>
      <c r="Q17" s="23" t="str">
        <f aca="false">IF(OR(ISNUMBER(Std_Curves!$B$13)=FALSE()),"",IF(OR(O17=""),"",(O17-Std_Curves!$B$14)/Std_Curves!$B$13))</f>
        <v/>
      </c>
      <c r="R17" s="23" t="str">
        <f aca="false">IF(OR(Q17="",P17="",N17=""),"",(Q17*P17/115.13)/(N17/5))</f>
        <v/>
      </c>
      <c r="S17" s="14"/>
      <c r="T17" s="14"/>
      <c r="U17" s="14"/>
      <c r="V17" s="14"/>
      <c r="W17" s="14"/>
      <c r="X17" s="23" t="str">
        <f aca="false">IF(OR(V17="",S17="",T17="",U17=""),"",V17*T17/1000*U17/S17)</f>
        <v/>
      </c>
      <c r="Y17" s="23" t="str">
        <f aca="false">IF(OR(W17="",S17="",T17="",U17=""),"",W17*T17/1000*U17/S17)</f>
        <v/>
      </c>
      <c r="Z17" s="23" t="str">
        <f aca="false">IF(OR(X17="",Y17=""),"",(Y17/39.1)/(X17/22.99))</f>
        <v/>
      </c>
      <c r="AA17" s="14"/>
      <c r="AB17" s="14"/>
      <c r="AC17" s="14"/>
      <c r="AD17" s="14"/>
      <c r="AE17" s="14"/>
      <c r="AF17" s="23" t="str">
        <f aca="false">IF(OR(AD17="",AA17="",AB17="",AC17=""),"",AD17*AB17/1000*AC17/AA17)</f>
        <v/>
      </c>
      <c r="AG17" s="23" t="str">
        <f aca="false">IF(OR(AE17="",AA17="",AB17="",AC17=""),"",AE17*AB17/1000*AC17/AA17)</f>
        <v/>
      </c>
      <c r="AH17" s="23" t="str">
        <f aca="false">IF(OR(AF17="",AG17=""),"",(AG17/39.1)/(AF17/22.99))</f>
        <v/>
      </c>
    </row>
    <row r="18" customFormat="false" ht="15" hidden="false" customHeight="false" outlineLevel="0" collapsed="false">
      <c r="A18" s="13" t="s">
        <v>160</v>
      </c>
      <c r="B18" s="13" t="s">
        <v>157</v>
      </c>
      <c r="C18" s="13" t="s">
        <v>147</v>
      </c>
      <c r="D18" s="13" t="n">
        <v>100</v>
      </c>
      <c r="E18" s="13" t="n">
        <v>4</v>
      </c>
      <c r="F18" s="14"/>
      <c r="G18" s="14"/>
      <c r="H18" s="23" t="str">
        <f aca="false">IF(OR(F18="",G18=""),"",G18/F18)</f>
        <v/>
      </c>
      <c r="I18" s="14"/>
      <c r="J18" s="14"/>
      <c r="K18" s="14"/>
      <c r="L18" s="14"/>
      <c r="M18" s="23" t="str">
        <f aca="false">IF(OR(K18="",L18="",I18="",J18=""),"",((K18-L18)/155)*1000*J18/I18)</f>
        <v/>
      </c>
      <c r="N18" s="14"/>
      <c r="O18" s="14"/>
      <c r="P18" s="14"/>
      <c r="Q18" s="23" t="str">
        <f aca="false">IF(OR(ISNUMBER(Std_Curves!$B$13)=FALSE()),"",IF(OR(O18=""),"",(O18-Std_Curves!$B$14)/Std_Curves!$B$13))</f>
        <v/>
      </c>
      <c r="R18" s="23" t="str">
        <f aca="false">IF(OR(Q18="",P18="",N18=""),"",(Q18*P18/115.13)/(N18/5))</f>
        <v/>
      </c>
      <c r="S18" s="14"/>
      <c r="T18" s="14"/>
      <c r="U18" s="14"/>
      <c r="V18" s="14"/>
      <c r="W18" s="14"/>
      <c r="X18" s="23" t="str">
        <f aca="false">IF(OR(V18="",S18="",T18="",U18=""),"",V18*T18/1000*U18/S18)</f>
        <v/>
      </c>
      <c r="Y18" s="23" t="str">
        <f aca="false">IF(OR(W18="",S18="",T18="",U18=""),"",W18*T18/1000*U18/S18)</f>
        <v/>
      </c>
      <c r="Z18" s="23" t="str">
        <f aca="false">IF(OR(X18="",Y18=""),"",(Y18/39.1)/(X18/22.99))</f>
        <v/>
      </c>
      <c r="AA18" s="14"/>
      <c r="AB18" s="14"/>
      <c r="AC18" s="14"/>
      <c r="AD18" s="14"/>
      <c r="AE18" s="14"/>
      <c r="AF18" s="23" t="str">
        <f aca="false">IF(OR(AD18="",AA18="",AB18="",AC18=""),"",AD18*AB18/1000*AC18/AA18)</f>
        <v/>
      </c>
      <c r="AG18" s="23" t="str">
        <f aca="false">IF(OR(AE18="",AA18="",AB18="",AC18=""),"",AE18*AB18/1000*AC18/AA18)</f>
        <v/>
      </c>
      <c r="AH18" s="23" t="str">
        <f aca="false">IF(OR(AF18="",AG18=""),"",(AG18/39.1)/(AF18/22.99))</f>
        <v/>
      </c>
    </row>
    <row r="19" customFormat="false" ht="15" hidden="false" customHeight="false" outlineLevel="0" collapsed="false">
      <c r="A19" s="13" t="s">
        <v>161</v>
      </c>
      <c r="B19" s="13" t="s">
        <v>162</v>
      </c>
      <c r="C19" s="13" t="s">
        <v>147</v>
      </c>
      <c r="D19" s="13" t="n">
        <v>150</v>
      </c>
      <c r="E19" s="13" t="n">
        <v>1</v>
      </c>
      <c r="F19" s="14"/>
      <c r="G19" s="14"/>
      <c r="H19" s="23" t="str">
        <f aca="false">IF(OR(F19="",G19=""),"",G19/F19)</f>
        <v/>
      </c>
      <c r="I19" s="14"/>
      <c r="J19" s="14"/>
      <c r="K19" s="14"/>
      <c r="L19" s="14"/>
      <c r="M19" s="23" t="str">
        <f aca="false">IF(OR(K19="",L19="",I19="",J19=""),"",((K19-L19)/155)*1000*J19/I19)</f>
        <v/>
      </c>
      <c r="N19" s="14"/>
      <c r="O19" s="14"/>
      <c r="P19" s="14"/>
      <c r="Q19" s="23" t="str">
        <f aca="false">IF(OR(ISNUMBER(Std_Curves!$B$13)=FALSE()),"",IF(OR(O19=""),"",(O19-Std_Curves!$B$14)/Std_Curves!$B$13))</f>
        <v/>
      </c>
      <c r="R19" s="23" t="str">
        <f aca="false">IF(OR(Q19="",P19="",N19=""),"",(Q19*P19/115.13)/(N19/5))</f>
        <v/>
      </c>
      <c r="S19" s="14"/>
      <c r="T19" s="14"/>
      <c r="U19" s="14"/>
      <c r="V19" s="14"/>
      <c r="W19" s="14"/>
      <c r="X19" s="23" t="str">
        <f aca="false">IF(OR(V19="",S19="",T19="",U19=""),"",V19*T19/1000*U19/S19)</f>
        <v/>
      </c>
      <c r="Y19" s="23" t="str">
        <f aca="false">IF(OR(W19="",S19="",T19="",U19=""),"",W19*T19/1000*U19/S19)</f>
        <v/>
      </c>
      <c r="Z19" s="23" t="str">
        <f aca="false">IF(OR(X19="",Y19=""),"",(Y19/39.1)/(X19/22.99))</f>
        <v/>
      </c>
      <c r="AA19" s="14"/>
      <c r="AB19" s="14"/>
      <c r="AC19" s="14"/>
      <c r="AD19" s="14"/>
      <c r="AE19" s="14"/>
      <c r="AF19" s="23" t="str">
        <f aca="false">IF(OR(AD19="",AA19="",AB19="",AC19=""),"",AD19*AB19/1000*AC19/AA19)</f>
        <v/>
      </c>
      <c r="AG19" s="23" t="str">
        <f aca="false">IF(OR(AE19="",AA19="",AB19="",AC19=""),"",AE19*AB19/1000*AC19/AA19)</f>
        <v/>
      </c>
      <c r="AH19" s="23" t="str">
        <f aca="false">IF(OR(AF19="",AG19=""),"",(AG19/39.1)/(AF19/22.99))</f>
        <v/>
      </c>
    </row>
    <row r="20" customFormat="false" ht="15" hidden="false" customHeight="false" outlineLevel="0" collapsed="false">
      <c r="A20" s="13" t="s">
        <v>163</v>
      </c>
      <c r="B20" s="13" t="s">
        <v>162</v>
      </c>
      <c r="C20" s="13" t="s">
        <v>147</v>
      </c>
      <c r="D20" s="13" t="n">
        <v>150</v>
      </c>
      <c r="E20" s="13" t="n">
        <v>2</v>
      </c>
      <c r="F20" s="14"/>
      <c r="G20" s="14"/>
      <c r="H20" s="23" t="str">
        <f aca="false">IF(OR(F20="",G20=""),"",G20/F20)</f>
        <v/>
      </c>
      <c r="I20" s="14"/>
      <c r="J20" s="14"/>
      <c r="K20" s="14"/>
      <c r="L20" s="14"/>
      <c r="M20" s="23" t="str">
        <f aca="false">IF(OR(K20="",L20="",I20="",J20=""),"",((K20-L20)/155)*1000*J20/I20)</f>
        <v/>
      </c>
      <c r="N20" s="14"/>
      <c r="O20" s="14"/>
      <c r="P20" s="14"/>
      <c r="Q20" s="23" t="str">
        <f aca="false">IF(OR(ISNUMBER(Std_Curves!$B$13)=FALSE()),"",IF(OR(O20=""),"",(O20-Std_Curves!$B$14)/Std_Curves!$B$13))</f>
        <v/>
      </c>
      <c r="R20" s="23" t="str">
        <f aca="false">IF(OR(Q20="",P20="",N20=""),"",(Q20*P20/115.13)/(N20/5))</f>
        <v/>
      </c>
      <c r="S20" s="14"/>
      <c r="T20" s="14"/>
      <c r="U20" s="14"/>
      <c r="V20" s="14"/>
      <c r="W20" s="14"/>
      <c r="X20" s="23" t="str">
        <f aca="false">IF(OR(V20="",S20="",T20="",U20=""),"",V20*T20/1000*U20/S20)</f>
        <v/>
      </c>
      <c r="Y20" s="23" t="str">
        <f aca="false">IF(OR(W20="",S20="",T20="",U20=""),"",W20*T20/1000*U20/S20)</f>
        <v/>
      </c>
      <c r="Z20" s="23" t="str">
        <f aca="false">IF(OR(X20="",Y20=""),"",(Y20/39.1)/(X20/22.99))</f>
        <v/>
      </c>
      <c r="AA20" s="14"/>
      <c r="AB20" s="14"/>
      <c r="AC20" s="14"/>
      <c r="AD20" s="14"/>
      <c r="AE20" s="14"/>
      <c r="AF20" s="23" t="str">
        <f aca="false">IF(OR(AD20="",AA20="",AB20="",AC20=""),"",AD20*AB20/1000*AC20/AA20)</f>
        <v/>
      </c>
      <c r="AG20" s="23" t="str">
        <f aca="false">IF(OR(AE20="",AA20="",AB20="",AC20=""),"",AE20*AB20/1000*AC20/AA20)</f>
        <v/>
      </c>
      <c r="AH20" s="23" t="str">
        <f aca="false">IF(OR(AF20="",AG20=""),"",(AG20/39.1)/(AF20/22.99))</f>
        <v/>
      </c>
    </row>
    <row r="21" customFormat="false" ht="15" hidden="false" customHeight="false" outlineLevel="0" collapsed="false">
      <c r="A21" s="13" t="s">
        <v>164</v>
      </c>
      <c r="B21" s="13" t="s">
        <v>162</v>
      </c>
      <c r="C21" s="13" t="s">
        <v>147</v>
      </c>
      <c r="D21" s="13" t="n">
        <v>150</v>
      </c>
      <c r="E21" s="13" t="n">
        <v>3</v>
      </c>
      <c r="F21" s="14"/>
      <c r="G21" s="14"/>
      <c r="H21" s="23" t="str">
        <f aca="false">IF(OR(F21="",G21=""),"",G21/F21)</f>
        <v/>
      </c>
      <c r="I21" s="14"/>
      <c r="J21" s="14"/>
      <c r="K21" s="14"/>
      <c r="L21" s="14"/>
      <c r="M21" s="23" t="str">
        <f aca="false">IF(OR(K21="",L21="",I21="",J21=""),"",((K21-L21)/155)*1000*J21/I21)</f>
        <v/>
      </c>
      <c r="N21" s="14"/>
      <c r="O21" s="14"/>
      <c r="P21" s="14"/>
      <c r="Q21" s="23" t="str">
        <f aca="false">IF(OR(ISNUMBER(Std_Curves!$B$13)=FALSE()),"",IF(OR(O21=""),"",(O21-Std_Curves!$B$14)/Std_Curves!$B$13))</f>
        <v/>
      </c>
      <c r="R21" s="23" t="str">
        <f aca="false">IF(OR(Q21="",P21="",N21=""),"",(Q21*P21/115.13)/(N21/5))</f>
        <v/>
      </c>
      <c r="S21" s="14"/>
      <c r="T21" s="14"/>
      <c r="U21" s="14"/>
      <c r="V21" s="14"/>
      <c r="W21" s="14"/>
      <c r="X21" s="23" t="str">
        <f aca="false">IF(OR(V21="",S21="",T21="",U21=""),"",V21*T21/1000*U21/S21)</f>
        <v/>
      </c>
      <c r="Y21" s="23" t="str">
        <f aca="false">IF(OR(W21="",S21="",T21="",U21=""),"",W21*T21/1000*U21/S21)</f>
        <v/>
      </c>
      <c r="Z21" s="23" t="str">
        <f aca="false">IF(OR(X21="",Y21=""),"",(Y21/39.1)/(X21/22.99))</f>
        <v/>
      </c>
      <c r="AA21" s="14"/>
      <c r="AB21" s="14"/>
      <c r="AC21" s="14"/>
      <c r="AD21" s="14"/>
      <c r="AE21" s="14"/>
      <c r="AF21" s="23" t="str">
        <f aca="false">IF(OR(AD21="",AA21="",AB21="",AC21=""),"",AD21*AB21/1000*AC21/AA21)</f>
        <v/>
      </c>
      <c r="AG21" s="23" t="str">
        <f aca="false">IF(OR(AE21="",AA21="",AB21="",AC21=""),"",AE21*AB21/1000*AC21/AA21)</f>
        <v/>
      </c>
      <c r="AH21" s="23" t="str">
        <f aca="false">IF(OR(AF21="",AG21=""),"",(AG21/39.1)/(AF21/22.99))</f>
        <v/>
      </c>
    </row>
    <row r="22" customFormat="false" ht="15" hidden="false" customHeight="false" outlineLevel="0" collapsed="false">
      <c r="A22" s="13" t="s">
        <v>165</v>
      </c>
      <c r="B22" s="13" t="s">
        <v>162</v>
      </c>
      <c r="C22" s="13" t="s">
        <v>147</v>
      </c>
      <c r="D22" s="13" t="n">
        <v>150</v>
      </c>
      <c r="E22" s="13" t="n">
        <v>4</v>
      </c>
      <c r="F22" s="14"/>
      <c r="G22" s="14"/>
      <c r="H22" s="23" t="str">
        <f aca="false">IF(OR(F22="",G22=""),"",G22/F22)</f>
        <v/>
      </c>
      <c r="I22" s="14"/>
      <c r="J22" s="14"/>
      <c r="K22" s="14"/>
      <c r="L22" s="14"/>
      <c r="M22" s="23" t="str">
        <f aca="false">IF(OR(K22="",L22="",I22="",J22=""),"",((K22-L22)/155)*1000*J22/I22)</f>
        <v/>
      </c>
      <c r="N22" s="14"/>
      <c r="O22" s="14"/>
      <c r="P22" s="14"/>
      <c r="Q22" s="23" t="str">
        <f aca="false">IF(OR(ISNUMBER(Std_Curves!$B$13)=FALSE()),"",IF(OR(O22=""),"",(O22-Std_Curves!$B$14)/Std_Curves!$B$13))</f>
        <v/>
      </c>
      <c r="R22" s="23" t="str">
        <f aca="false">IF(OR(Q22="",P22="",N22=""),"",(Q22*P22/115.13)/(N22/5))</f>
        <v/>
      </c>
      <c r="S22" s="14"/>
      <c r="T22" s="14"/>
      <c r="U22" s="14"/>
      <c r="V22" s="14"/>
      <c r="W22" s="14"/>
      <c r="X22" s="23" t="str">
        <f aca="false">IF(OR(V22="",S22="",T22="",U22=""),"",V22*T22/1000*U22/S22)</f>
        <v/>
      </c>
      <c r="Y22" s="23" t="str">
        <f aca="false">IF(OR(W22="",S22="",T22="",U22=""),"",W22*T22/1000*U22/S22)</f>
        <v/>
      </c>
      <c r="Z22" s="23" t="str">
        <f aca="false">IF(OR(X22="",Y22=""),"",(Y22/39.1)/(X22/22.99))</f>
        <v/>
      </c>
      <c r="AA22" s="14"/>
      <c r="AB22" s="14"/>
      <c r="AC22" s="14"/>
      <c r="AD22" s="14"/>
      <c r="AE22" s="14"/>
      <c r="AF22" s="23" t="str">
        <f aca="false">IF(OR(AD22="",AA22="",AB22="",AC22=""),"",AD22*AB22/1000*AC22/AA22)</f>
        <v/>
      </c>
      <c r="AG22" s="23" t="str">
        <f aca="false">IF(OR(AE22="",AA22="",AB22="",AC22=""),"",AE22*AB22/1000*AC22/AA22)</f>
        <v/>
      </c>
      <c r="AH22" s="23" t="str">
        <f aca="false">IF(OR(AF22="",AG22=""),"",(AG22/39.1)/(AF22/22.99))</f>
        <v/>
      </c>
    </row>
    <row r="23" customFormat="false" ht="15" hidden="false" customHeight="false" outlineLevel="0" collapsed="false">
      <c r="A23" s="13" t="s">
        <v>166</v>
      </c>
      <c r="B23" s="13" t="s">
        <v>167</v>
      </c>
      <c r="C23" s="13" t="s">
        <v>168</v>
      </c>
      <c r="D23" s="13" t="n">
        <v>0</v>
      </c>
      <c r="E23" s="13" t="n">
        <v>1</v>
      </c>
      <c r="F23" s="14"/>
      <c r="G23" s="14"/>
      <c r="H23" s="23" t="str">
        <f aca="false">IF(OR(F23="",G23=""),"",G23/F23)</f>
        <v/>
      </c>
      <c r="I23" s="14"/>
      <c r="J23" s="14"/>
      <c r="K23" s="14"/>
      <c r="L23" s="14"/>
      <c r="M23" s="23" t="str">
        <f aca="false">IF(OR(K23="",L23="",I23="",J23=""),"",((K23-L23)/155)*1000*J23/I23)</f>
        <v/>
      </c>
      <c r="N23" s="14"/>
      <c r="O23" s="14"/>
      <c r="P23" s="14"/>
      <c r="Q23" s="23" t="str">
        <f aca="false">IF(OR(ISNUMBER(Std_Curves!$B$13)=FALSE()),"",IF(OR(O23=""),"",(O23-Std_Curves!$B$14)/Std_Curves!$B$13))</f>
        <v/>
      </c>
      <c r="R23" s="23" t="str">
        <f aca="false">IF(OR(Q23="",P23="",N23=""),"",(Q23*P23/115.13)/(N23/5))</f>
        <v/>
      </c>
      <c r="S23" s="14"/>
      <c r="T23" s="14"/>
      <c r="U23" s="14"/>
      <c r="V23" s="14"/>
      <c r="W23" s="14"/>
      <c r="X23" s="23" t="str">
        <f aca="false">IF(OR(V23="",S23="",T23="",U23=""),"",V23*T23/1000*U23/S23)</f>
        <v/>
      </c>
      <c r="Y23" s="23" t="str">
        <f aca="false">IF(OR(W23="",S23="",T23="",U23=""),"",W23*T23/1000*U23/S23)</f>
        <v/>
      </c>
      <c r="Z23" s="23" t="str">
        <f aca="false">IF(OR(X23="",Y23=""),"",(Y23/39.1)/(X23/22.99))</f>
        <v/>
      </c>
      <c r="AA23" s="14"/>
      <c r="AB23" s="14"/>
      <c r="AC23" s="14"/>
      <c r="AD23" s="14"/>
      <c r="AE23" s="14"/>
      <c r="AF23" s="23" t="str">
        <f aca="false">IF(OR(AD23="",AA23="",AB23="",AC23=""),"",AD23*AB23/1000*AC23/AA23)</f>
        <v/>
      </c>
      <c r="AG23" s="23" t="str">
        <f aca="false">IF(OR(AE23="",AA23="",AB23="",AC23=""),"",AE23*AB23/1000*AC23/AA23)</f>
        <v/>
      </c>
      <c r="AH23" s="23" t="str">
        <f aca="false">IF(OR(AF23="",AG23=""),"",(AG23/39.1)/(AF23/22.99))</f>
        <v/>
      </c>
    </row>
    <row r="24" customFormat="false" ht="15" hidden="false" customHeight="false" outlineLevel="0" collapsed="false">
      <c r="A24" s="13" t="s">
        <v>169</v>
      </c>
      <c r="B24" s="13" t="s">
        <v>167</v>
      </c>
      <c r="C24" s="13" t="s">
        <v>168</v>
      </c>
      <c r="D24" s="13" t="n">
        <v>0</v>
      </c>
      <c r="E24" s="13" t="n">
        <v>2</v>
      </c>
      <c r="F24" s="14"/>
      <c r="G24" s="14"/>
      <c r="H24" s="23" t="str">
        <f aca="false">IF(OR(F24="",G24=""),"",G24/F24)</f>
        <v/>
      </c>
      <c r="I24" s="14"/>
      <c r="J24" s="14"/>
      <c r="K24" s="14"/>
      <c r="L24" s="14"/>
      <c r="M24" s="23" t="str">
        <f aca="false">IF(OR(K24="",L24="",I24="",J24=""),"",((K24-L24)/155)*1000*J24/I24)</f>
        <v/>
      </c>
      <c r="N24" s="14"/>
      <c r="O24" s="14"/>
      <c r="P24" s="14"/>
      <c r="Q24" s="23" t="str">
        <f aca="false">IF(OR(ISNUMBER(Std_Curves!$B$13)=FALSE()),"",IF(OR(O24=""),"",(O24-Std_Curves!$B$14)/Std_Curves!$B$13))</f>
        <v/>
      </c>
      <c r="R24" s="23" t="str">
        <f aca="false">IF(OR(Q24="",P24="",N24=""),"",(Q24*P24/115.13)/(N24/5))</f>
        <v/>
      </c>
      <c r="S24" s="14"/>
      <c r="T24" s="14"/>
      <c r="U24" s="14"/>
      <c r="V24" s="14"/>
      <c r="W24" s="14"/>
      <c r="X24" s="23" t="str">
        <f aca="false">IF(OR(V24="",S24="",T24="",U24=""),"",V24*T24/1000*U24/S24)</f>
        <v/>
      </c>
      <c r="Y24" s="23" t="str">
        <f aca="false">IF(OR(W24="",S24="",T24="",U24=""),"",W24*T24/1000*U24/S24)</f>
        <v/>
      </c>
      <c r="Z24" s="23" t="str">
        <f aca="false">IF(OR(X24="",Y24=""),"",(Y24/39.1)/(X24/22.99))</f>
        <v/>
      </c>
      <c r="AA24" s="14"/>
      <c r="AB24" s="14"/>
      <c r="AC24" s="14"/>
      <c r="AD24" s="14"/>
      <c r="AE24" s="14"/>
      <c r="AF24" s="23" t="str">
        <f aca="false">IF(OR(AD24="",AA24="",AB24="",AC24=""),"",AD24*AB24/1000*AC24/AA24)</f>
        <v/>
      </c>
      <c r="AG24" s="23" t="str">
        <f aca="false">IF(OR(AE24="",AA24="",AB24="",AC24=""),"",AE24*AB24/1000*AC24/AA24)</f>
        <v/>
      </c>
      <c r="AH24" s="23" t="str">
        <f aca="false">IF(OR(AF24="",AG24=""),"",(AG24/39.1)/(AF24/22.99))</f>
        <v/>
      </c>
    </row>
    <row r="25" customFormat="false" ht="15" hidden="false" customHeight="false" outlineLevel="0" collapsed="false">
      <c r="A25" s="13" t="s">
        <v>170</v>
      </c>
      <c r="B25" s="13" t="s">
        <v>167</v>
      </c>
      <c r="C25" s="13" t="s">
        <v>168</v>
      </c>
      <c r="D25" s="13" t="n">
        <v>0</v>
      </c>
      <c r="E25" s="13" t="n">
        <v>3</v>
      </c>
      <c r="F25" s="14"/>
      <c r="G25" s="14"/>
      <c r="H25" s="23" t="str">
        <f aca="false">IF(OR(F25="",G25=""),"",G25/F25)</f>
        <v/>
      </c>
      <c r="I25" s="14"/>
      <c r="J25" s="14"/>
      <c r="K25" s="14"/>
      <c r="L25" s="14"/>
      <c r="M25" s="23" t="str">
        <f aca="false">IF(OR(K25="",L25="",I25="",J25=""),"",((K25-L25)/155)*1000*J25/I25)</f>
        <v/>
      </c>
      <c r="N25" s="14"/>
      <c r="O25" s="14"/>
      <c r="P25" s="14"/>
      <c r="Q25" s="23" t="str">
        <f aca="false">IF(OR(ISNUMBER(Std_Curves!$B$13)=FALSE()),"",IF(OR(O25=""),"",(O25-Std_Curves!$B$14)/Std_Curves!$B$13))</f>
        <v/>
      </c>
      <c r="R25" s="23" t="str">
        <f aca="false">IF(OR(Q25="",P25="",N25=""),"",(Q25*P25/115.13)/(N25/5))</f>
        <v/>
      </c>
      <c r="S25" s="14"/>
      <c r="T25" s="14"/>
      <c r="U25" s="14"/>
      <c r="V25" s="14"/>
      <c r="W25" s="14"/>
      <c r="X25" s="23" t="str">
        <f aca="false">IF(OR(V25="",S25="",T25="",U25=""),"",V25*T25/1000*U25/S25)</f>
        <v/>
      </c>
      <c r="Y25" s="23" t="str">
        <f aca="false">IF(OR(W25="",S25="",T25="",U25=""),"",W25*T25/1000*U25/S25)</f>
        <v/>
      </c>
      <c r="Z25" s="23" t="str">
        <f aca="false">IF(OR(X25="",Y25=""),"",(Y25/39.1)/(X25/22.99))</f>
        <v/>
      </c>
      <c r="AA25" s="14"/>
      <c r="AB25" s="14"/>
      <c r="AC25" s="14"/>
      <c r="AD25" s="14"/>
      <c r="AE25" s="14"/>
      <c r="AF25" s="23" t="str">
        <f aca="false">IF(OR(AD25="",AA25="",AB25="",AC25=""),"",AD25*AB25/1000*AC25/AA25)</f>
        <v/>
      </c>
      <c r="AG25" s="23" t="str">
        <f aca="false">IF(OR(AE25="",AA25="",AB25="",AC25=""),"",AE25*AB25/1000*AC25/AA25)</f>
        <v/>
      </c>
      <c r="AH25" s="23" t="str">
        <f aca="false">IF(OR(AF25="",AG25=""),"",(AG25/39.1)/(AF25/22.99))</f>
        <v/>
      </c>
    </row>
    <row r="26" customFormat="false" ht="15" hidden="false" customHeight="false" outlineLevel="0" collapsed="false">
      <c r="A26" s="13" t="s">
        <v>171</v>
      </c>
      <c r="B26" s="13" t="s">
        <v>167</v>
      </c>
      <c r="C26" s="13" t="s">
        <v>168</v>
      </c>
      <c r="D26" s="13" t="n">
        <v>0</v>
      </c>
      <c r="E26" s="13" t="n">
        <v>4</v>
      </c>
      <c r="F26" s="14"/>
      <c r="G26" s="14"/>
      <c r="H26" s="23" t="str">
        <f aca="false">IF(OR(F26="",G26=""),"",G26/F26)</f>
        <v/>
      </c>
      <c r="I26" s="14"/>
      <c r="J26" s="14"/>
      <c r="K26" s="14"/>
      <c r="L26" s="14"/>
      <c r="M26" s="23" t="str">
        <f aca="false">IF(OR(K26="",L26="",I26="",J26=""),"",((K26-L26)/155)*1000*J26/I26)</f>
        <v/>
      </c>
      <c r="N26" s="14"/>
      <c r="O26" s="14"/>
      <c r="P26" s="14"/>
      <c r="Q26" s="23" t="str">
        <f aca="false">IF(OR(ISNUMBER(Std_Curves!$B$13)=FALSE()),"",IF(OR(O26=""),"",(O26-Std_Curves!$B$14)/Std_Curves!$B$13))</f>
        <v/>
      </c>
      <c r="R26" s="23" t="str">
        <f aca="false">IF(OR(Q26="",P26="",N26=""),"",(Q26*P26/115.13)/(N26/5))</f>
        <v/>
      </c>
      <c r="S26" s="14"/>
      <c r="T26" s="14"/>
      <c r="U26" s="14"/>
      <c r="V26" s="14"/>
      <c r="W26" s="14"/>
      <c r="X26" s="23" t="str">
        <f aca="false">IF(OR(V26="",S26="",T26="",U26=""),"",V26*T26/1000*U26/S26)</f>
        <v/>
      </c>
      <c r="Y26" s="23" t="str">
        <f aca="false">IF(OR(W26="",S26="",T26="",U26=""),"",W26*T26/1000*U26/S26)</f>
        <v/>
      </c>
      <c r="Z26" s="23" t="str">
        <f aca="false">IF(OR(X26="",Y26=""),"",(Y26/39.1)/(X26/22.99))</f>
        <v/>
      </c>
      <c r="AA26" s="14"/>
      <c r="AB26" s="14"/>
      <c r="AC26" s="14"/>
      <c r="AD26" s="14"/>
      <c r="AE26" s="14"/>
      <c r="AF26" s="23" t="str">
        <f aca="false">IF(OR(AD26="",AA26="",AB26="",AC26=""),"",AD26*AB26/1000*AC26/AA26)</f>
        <v/>
      </c>
      <c r="AG26" s="23" t="str">
        <f aca="false">IF(OR(AE26="",AA26="",AB26="",AC26=""),"",AE26*AB26/1000*AC26/AA26)</f>
        <v/>
      </c>
      <c r="AH26" s="23" t="str">
        <f aca="false">IF(OR(AF26="",AG26=""),"",(AG26/39.1)/(AF26/22.99))</f>
        <v/>
      </c>
    </row>
    <row r="27" customFormat="false" ht="15" hidden="false" customHeight="false" outlineLevel="0" collapsed="false">
      <c r="A27" s="13" t="s">
        <v>172</v>
      </c>
      <c r="B27" s="13" t="s">
        <v>173</v>
      </c>
      <c r="C27" s="13" t="s">
        <v>168</v>
      </c>
      <c r="D27" s="13" t="n">
        <v>50</v>
      </c>
      <c r="E27" s="13" t="n">
        <v>1</v>
      </c>
      <c r="F27" s="14"/>
      <c r="G27" s="14"/>
      <c r="H27" s="23" t="str">
        <f aca="false">IF(OR(F27="",G27=""),"",G27/F27)</f>
        <v/>
      </c>
      <c r="I27" s="14"/>
      <c r="J27" s="14"/>
      <c r="K27" s="14"/>
      <c r="L27" s="14"/>
      <c r="M27" s="23" t="str">
        <f aca="false">IF(OR(K27="",L27="",I27="",J27=""),"",((K27-L27)/155)*1000*J27/I27)</f>
        <v/>
      </c>
      <c r="N27" s="14"/>
      <c r="O27" s="14"/>
      <c r="P27" s="14"/>
      <c r="Q27" s="23" t="str">
        <f aca="false">IF(OR(ISNUMBER(Std_Curves!$B$13)=FALSE()),"",IF(OR(O27=""),"",(O27-Std_Curves!$B$14)/Std_Curves!$B$13))</f>
        <v/>
      </c>
      <c r="R27" s="23" t="str">
        <f aca="false">IF(OR(Q27="",P27="",N27=""),"",(Q27*P27/115.13)/(N27/5))</f>
        <v/>
      </c>
      <c r="S27" s="14"/>
      <c r="T27" s="14"/>
      <c r="U27" s="14"/>
      <c r="V27" s="14"/>
      <c r="W27" s="14"/>
      <c r="X27" s="23" t="str">
        <f aca="false">IF(OR(V27="",S27="",T27="",U27=""),"",V27*T27/1000*U27/S27)</f>
        <v/>
      </c>
      <c r="Y27" s="23" t="str">
        <f aca="false">IF(OR(W27="",S27="",T27="",U27=""),"",W27*T27/1000*U27/S27)</f>
        <v/>
      </c>
      <c r="Z27" s="23" t="str">
        <f aca="false">IF(OR(X27="",Y27=""),"",(Y27/39.1)/(X27/22.99))</f>
        <v/>
      </c>
      <c r="AA27" s="14"/>
      <c r="AB27" s="14"/>
      <c r="AC27" s="14"/>
      <c r="AD27" s="14"/>
      <c r="AE27" s="14"/>
      <c r="AF27" s="23" t="str">
        <f aca="false">IF(OR(AD27="",AA27="",AB27="",AC27=""),"",AD27*AB27/1000*AC27/AA27)</f>
        <v/>
      </c>
      <c r="AG27" s="23" t="str">
        <f aca="false">IF(OR(AE27="",AA27="",AB27="",AC27=""),"",AE27*AB27/1000*AC27/AA27)</f>
        <v/>
      </c>
      <c r="AH27" s="23" t="str">
        <f aca="false">IF(OR(AF27="",AG27=""),"",(AG27/39.1)/(AF27/22.99))</f>
        <v/>
      </c>
    </row>
    <row r="28" customFormat="false" ht="15" hidden="false" customHeight="false" outlineLevel="0" collapsed="false">
      <c r="A28" s="13" t="s">
        <v>174</v>
      </c>
      <c r="B28" s="13" t="s">
        <v>173</v>
      </c>
      <c r="C28" s="13" t="s">
        <v>168</v>
      </c>
      <c r="D28" s="13" t="n">
        <v>50</v>
      </c>
      <c r="E28" s="13" t="n">
        <v>2</v>
      </c>
      <c r="F28" s="14"/>
      <c r="G28" s="14"/>
      <c r="H28" s="23" t="str">
        <f aca="false">IF(OR(F28="",G28=""),"",G28/F28)</f>
        <v/>
      </c>
      <c r="I28" s="14"/>
      <c r="J28" s="14"/>
      <c r="K28" s="14"/>
      <c r="L28" s="14"/>
      <c r="M28" s="23" t="str">
        <f aca="false">IF(OR(K28="",L28="",I28="",J28=""),"",((K28-L28)/155)*1000*J28/I28)</f>
        <v/>
      </c>
      <c r="N28" s="14"/>
      <c r="O28" s="14"/>
      <c r="P28" s="14"/>
      <c r="Q28" s="23" t="str">
        <f aca="false">IF(OR(ISNUMBER(Std_Curves!$B$13)=FALSE()),"",IF(OR(O28=""),"",(O28-Std_Curves!$B$14)/Std_Curves!$B$13))</f>
        <v/>
      </c>
      <c r="R28" s="23" t="str">
        <f aca="false">IF(OR(Q28="",P28="",N28=""),"",(Q28*P28/115.13)/(N28/5))</f>
        <v/>
      </c>
      <c r="S28" s="14"/>
      <c r="T28" s="14"/>
      <c r="U28" s="14"/>
      <c r="V28" s="14"/>
      <c r="W28" s="14"/>
      <c r="X28" s="23" t="str">
        <f aca="false">IF(OR(V28="",S28="",T28="",U28=""),"",V28*T28/1000*U28/S28)</f>
        <v/>
      </c>
      <c r="Y28" s="23" t="str">
        <f aca="false">IF(OR(W28="",S28="",T28="",U28=""),"",W28*T28/1000*U28/S28)</f>
        <v/>
      </c>
      <c r="Z28" s="23" t="str">
        <f aca="false">IF(OR(X28="",Y28=""),"",(Y28/39.1)/(X28/22.99))</f>
        <v/>
      </c>
      <c r="AA28" s="14"/>
      <c r="AB28" s="14"/>
      <c r="AC28" s="14"/>
      <c r="AD28" s="14"/>
      <c r="AE28" s="14"/>
      <c r="AF28" s="23" t="str">
        <f aca="false">IF(OR(AD28="",AA28="",AB28="",AC28=""),"",AD28*AB28/1000*AC28/AA28)</f>
        <v/>
      </c>
      <c r="AG28" s="23" t="str">
        <f aca="false">IF(OR(AE28="",AA28="",AB28="",AC28=""),"",AE28*AB28/1000*AC28/AA28)</f>
        <v/>
      </c>
      <c r="AH28" s="23" t="str">
        <f aca="false">IF(OR(AF28="",AG28=""),"",(AG28/39.1)/(AF28/22.99))</f>
        <v/>
      </c>
    </row>
    <row r="29" customFormat="false" ht="15" hidden="false" customHeight="false" outlineLevel="0" collapsed="false">
      <c r="A29" s="13" t="s">
        <v>175</v>
      </c>
      <c r="B29" s="13" t="s">
        <v>173</v>
      </c>
      <c r="C29" s="13" t="s">
        <v>168</v>
      </c>
      <c r="D29" s="13" t="n">
        <v>50</v>
      </c>
      <c r="E29" s="13" t="n">
        <v>3</v>
      </c>
      <c r="F29" s="14"/>
      <c r="G29" s="14"/>
      <c r="H29" s="23" t="str">
        <f aca="false">IF(OR(F29="",G29=""),"",G29/F29)</f>
        <v/>
      </c>
      <c r="I29" s="14"/>
      <c r="J29" s="14"/>
      <c r="K29" s="14"/>
      <c r="L29" s="14"/>
      <c r="M29" s="23" t="str">
        <f aca="false">IF(OR(K29="",L29="",I29="",J29=""),"",((K29-L29)/155)*1000*J29/I29)</f>
        <v/>
      </c>
      <c r="N29" s="14"/>
      <c r="O29" s="14"/>
      <c r="P29" s="14"/>
      <c r="Q29" s="23" t="str">
        <f aca="false">IF(OR(ISNUMBER(Std_Curves!$B$13)=FALSE()),"",IF(OR(O29=""),"",(O29-Std_Curves!$B$14)/Std_Curves!$B$13))</f>
        <v/>
      </c>
      <c r="R29" s="23" t="str">
        <f aca="false">IF(OR(Q29="",P29="",N29=""),"",(Q29*P29/115.13)/(N29/5))</f>
        <v/>
      </c>
      <c r="S29" s="14"/>
      <c r="T29" s="14"/>
      <c r="U29" s="14"/>
      <c r="V29" s="14"/>
      <c r="W29" s="14"/>
      <c r="X29" s="23" t="str">
        <f aca="false">IF(OR(V29="",S29="",T29="",U29=""),"",V29*T29/1000*U29/S29)</f>
        <v/>
      </c>
      <c r="Y29" s="23" t="str">
        <f aca="false">IF(OR(W29="",S29="",T29="",U29=""),"",W29*T29/1000*U29/S29)</f>
        <v/>
      </c>
      <c r="Z29" s="23" t="str">
        <f aca="false">IF(OR(X29="",Y29=""),"",(Y29/39.1)/(X29/22.99))</f>
        <v/>
      </c>
      <c r="AA29" s="14"/>
      <c r="AB29" s="14"/>
      <c r="AC29" s="14"/>
      <c r="AD29" s="14"/>
      <c r="AE29" s="14"/>
      <c r="AF29" s="23" t="str">
        <f aca="false">IF(OR(AD29="",AA29="",AB29="",AC29=""),"",AD29*AB29/1000*AC29/AA29)</f>
        <v/>
      </c>
      <c r="AG29" s="23" t="str">
        <f aca="false">IF(OR(AE29="",AA29="",AB29="",AC29=""),"",AE29*AB29/1000*AC29/AA29)</f>
        <v/>
      </c>
      <c r="AH29" s="23" t="str">
        <f aca="false">IF(OR(AF29="",AG29=""),"",(AG29/39.1)/(AF29/22.99))</f>
        <v/>
      </c>
    </row>
    <row r="30" customFormat="false" ht="15" hidden="false" customHeight="false" outlineLevel="0" collapsed="false">
      <c r="A30" s="13" t="s">
        <v>176</v>
      </c>
      <c r="B30" s="13" t="s">
        <v>173</v>
      </c>
      <c r="C30" s="13" t="s">
        <v>168</v>
      </c>
      <c r="D30" s="13" t="n">
        <v>50</v>
      </c>
      <c r="E30" s="13" t="n">
        <v>4</v>
      </c>
      <c r="F30" s="14"/>
      <c r="G30" s="14"/>
      <c r="H30" s="23" t="str">
        <f aca="false">IF(OR(F30="",G30=""),"",G30/F30)</f>
        <v/>
      </c>
      <c r="I30" s="14"/>
      <c r="J30" s="14"/>
      <c r="K30" s="14"/>
      <c r="L30" s="14"/>
      <c r="M30" s="23" t="str">
        <f aca="false">IF(OR(K30="",L30="",I30="",J30=""),"",((K30-L30)/155)*1000*J30/I30)</f>
        <v/>
      </c>
      <c r="N30" s="14"/>
      <c r="O30" s="14"/>
      <c r="P30" s="14"/>
      <c r="Q30" s="23" t="str">
        <f aca="false">IF(OR(ISNUMBER(Std_Curves!$B$13)=FALSE()),"",IF(OR(O30=""),"",(O30-Std_Curves!$B$14)/Std_Curves!$B$13))</f>
        <v/>
      </c>
      <c r="R30" s="23" t="str">
        <f aca="false">IF(OR(Q30="",P30="",N30=""),"",(Q30*P30/115.13)/(N30/5))</f>
        <v/>
      </c>
      <c r="S30" s="14"/>
      <c r="T30" s="14"/>
      <c r="U30" s="14"/>
      <c r="V30" s="14"/>
      <c r="W30" s="14"/>
      <c r="X30" s="23" t="str">
        <f aca="false">IF(OR(V30="",S30="",T30="",U30=""),"",V30*T30/1000*U30/S30)</f>
        <v/>
      </c>
      <c r="Y30" s="23" t="str">
        <f aca="false">IF(OR(W30="",S30="",T30="",U30=""),"",W30*T30/1000*U30/S30)</f>
        <v/>
      </c>
      <c r="Z30" s="23" t="str">
        <f aca="false">IF(OR(X30="",Y30=""),"",(Y30/39.1)/(X30/22.99))</f>
        <v/>
      </c>
      <c r="AA30" s="14"/>
      <c r="AB30" s="14"/>
      <c r="AC30" s="14"/>
      <c r="AD30" s="14"/>
      <c r="AE30" s="14"/>
      <c r="AF30" s="23" t="str">
        <f aca="false">IF(OR(AD30="",AA30="",AB30="",AC30=""),"",AD30*AB30/1000*AC30/AA30)</f>
        <v/>
      </c>
      <c r="AG30" s="23" t="str">
        <f aca="false">IF(OR(AE30="",AA30="",AB30="",AC30=""),"",AE30*AB30/1000*AC30/AA30)</f>
        <v/>
      </c>
      <c r="AH30" s="23" t="str">
        <f aca="false">IF(OR(AF30="",AG30=""),"",(AG30/39.1)/(AF30/22.99))</f>
        <v/>
      </c>
    </row>
    <row r="31" customFormat="false" ht="15" hidden="false" customHeight="false" outlineLevel="0" collapsed="false">
      <c r="A31" s="13" t="s">
        <v>177</v>
      </c>
      <c r="B31" s="13" t="s">
        <v>178</v>
      </c>
      <c r="C31" s="13" t="s">
        <v>168</v>
      </c>
      <c r="D31" s="13" t="n">
        <v>100</v>
      </c>
      <c r="E31" s="13" t="n">
        <v>1</v>
      </c>
      <c r="F31" s="14"/>
      <c r="G31" s="14"/>
      <c r="H31" s="23" t="str">
        <f aca="false">IF(OR(F31="",G31=""),"",G31/F31)</f>
        <v/>
      </c>
      <c r="I31" s="14"/>
      <c r="J31" s="14"/>
      <c r="K31" s="14"/>
      <c r="L31" s="14"/>
      <c r="M31" s="23" t="str">
        <f aca="false">IF(OR(K31="",L31="",I31="",J31=""),"",((K31-L31)/155)*1000*J31/I31)</f>
        <v/>
      </c>
      <c r="N31" s="14"/>
      <c r="O31" s="14"/>
      <c r="P31" s="14"/>
      <c r="Q31" s="23" t="str">
        <f aca="false">IF(OR(ISNUMBER(Std_Curves!$B$13)=FALSE()),"",IF(OR(O31=""),"",(O31-Std_Curves!$B$14)/Std_Curves!$B$13))</f>
        <v/>
      </c>
      <c r="R31" s="23" t="str">
        <f aca="false">IF(OR(Q31="",P31="",N31=""),"",(Q31*P31/115.13)/(N31/5))</f>
        <v/>
      </c>
      <c r="S31" s="14"/>
      <c r="T31" s="14"/>
      <c r="U31" s="14"/>
      <c r="V31" s="14"/>
      <c r="W31" s="14"/>
      <c r="X31" s="23" t="str">
        <f aca="false">IF(OR(V31="",S31="",T31="",U31=""),"",V31*T31/1000*U31/S31)</f>
        <v/>
      </c>
      <c r="Y31" s="23" t="str">
        <f aca="false">IF(OR(W31="",S31="",T31="",U31=""),"",W31*T31/1000*U31/S31)</f>
        <v/>
      </c>
      <c r="Z31" s="23" t="str">
        <f aca="false">IF(OR(X31="",Y31=""),"",(Y31/39.1)/(X31/22.99))</f>
        <v/>
      </c>
      <c r="AA31" s="14"/>
      <c r="AB31" s="14"/>
      <c r="AC31" s="14"/>
      <c r="AD31" s="14"/>
      <c r="AE31" s="14"/>
      <c r="AF31" s="23" t="str">
        <f aca="false">IF(OR(AD31="",AA31="",AB31="",AC31=""),"",AD31*AB31/1000*AC31/AA31)</f>
        <v/>
      </c>
      <c r="AG31" s="23" t="str">
        <f aca="false">IF(OR(AE31="",AA31="",AB31="",AC31=""),"",AE31*AB31/1000*AC31/AA31)</f>
        <v/>
      </c>
      <c r="AH31" s="23" t="str">
        <f aca="false">IF(OR(AF31="",AG31=""),"",(AG31/39.1)/(AF31/22.99))</f>
        <v/>
      </c>
    </row>
    <row r="32" customFormat="false" ht="15" hidden="false" customHeight="false" outlineLevel="0" collapsed="false">
      <c r="A32" s="13" t="s">
        <v>179</v>
      </c>
      <c r="B32" s="13" t="s">
        <v>178</v>
      </c>
      <c r="C32" s="13" t="s">
        <v>168</v>
      </c>
      <c r="D32" s="13" t="n">
        <v>100</v>
      </c>
      <c r="E32" s="13" t="n">
        <v>2</v>
      </c>
      <c r="F32" s="14"/>
      <c r="G32" s="14"/>
      <c r="H32" s="23" t="str">
        <f aca="false">IF(OR(F32="",G32=""),"",G32/F32)</f>
        <v/>
      </c>
      <c r="I32" s="14"/>
      <c r="J32" s="14"/>
      <c r="K32" s="14"/>
      <c r="L32" s="14"/>
      <c r="M32" s="23" t="str">
        <f aca="false">IF(OR(K32="",L32="",I32="",J32=""),"",((K32-L32)/155)*1000*J32/I32)</f>
        <v/>
      </c>
      <c r="N32" s="14"/>
      <c r="O32" s="14"/>
      <c r="P32" s="14"/>
      <c r="Q32" s="23" t="str">
        <f aca="false">IF(OR(ISNUMBER(Std_Curves!$B$13)=FALSE()),"",IF(OR(O32=""),"",(O32-Std_Curves!$B$14)/Std_Curves!$B$13))</f>
        <v/>
      </c>
      <c r="R32" s="23" t="str">
        <f aca="false">IF(OR(Q32="",P32="",N32=""),"",(Q32*P32/115.13)/(N32/5))</f>
        <v/>
      </c>
      <c r="S32" s="14"/>
      <c r="T32" s="14"/>
      <c r="U32" s="14"/>
      <c r="V32" s="14"/>
      <c r="W32" s="14"/>
      <c r="X32" s="23" t="str">
        <f aca="false">IF(OR(V32="",S32="",T32="",U32=""),"",V32*T32/1000*U32/S32)</f>
        <v/>
      </c>
      <c r="Y32" s="23" t="str">
        <f aca="false">IF(OR(W32="",S32="",T32="",U32=""),"",W32*T32/1000*U32/S32)</f>
        <v/>
      </c>
      <c r="Z32" s="23" t="str">
        <f aca="false">IF(OR(X32="",Y32=""),"",(Y32/39.1)/(X32/22.99))</f>
        <v/>
      </c>
      <c r="AA32" s="14"/>
      <c r="AB32" s="14"/>
      <c r="AC32" s="14"/>
      <c r="AD32" s="14"/>
      <c r="AE32" s="14"/>
      <c r="AF32" s="23" t="str">
        <f aca="false">IF(OR(AD32="",AA32="",AB32="",AC32=""),"",AD32*AB32/1000*AC32/AA32)</f>
        <v/>
      </c>
      <c r="AG32" s="23" t="str">
        <f aca="false">IF(OR(AE32="",AA32="",AB32="",AC32=""),"",AE32*AB32/1000*AC32/AA32)</f>
        <v/>
      </c>
      <c r="AH32" s="23" t="str">
        <f aca="false">IF(OR(AF32="",AG32=""),"",(AG32/39.1)/(AF32/22.99))</f>
        <v/>
      </c>
    </row>
    <row r="33" customFormat="false" ht="15" hidden="false" customHeight="false" outlineLevel="0" collapsed="false">
      <c r="A33" s="13" t="s">
        <v>180</v>
      </c>
      <c r="B33" s="13" t="s">
        <v>178</v>
      </c>
      <c r="C33" s="13" t="s">
        <v>168</v>
      </c>
      <c r="D33" s="13" t="n">
        <v>100</v>
      </c>
      <c r="E33" s="13" t="n">
        <v>3</v>
      </c>
      <c r="F33" s="14"/>
      <c r="G33" s="14"/>
      <c r="H33" s="23" t="str">
        <f aca="false">IF(OR(F33="",G33=""),"",G33/F33)</f>
        <v/>
      </c>
      <c r="I33" s="14"/>
      <c r="J33" s="14"/>
      <c r="K33" s="14"/>
      <c r="L33" s="14"/>
      <c r="M33" s="23" t="str">
        <f aca="false">IF(OR(K33="",L33="",I33="",J33=""),"",((K33-L33)/155)*1000*J33/I33)</f>
        <v/>
      </c>
      <c r="N33" s="14"/>
      <c r="O33" s="14"/>
      <c r="P33" s="14"/>
      <c r="Q33" s="23" t="str">
        <f aca="false">IF(OR(ISNUMBER(Std_Curves!$B$13)=FALSE()),"",IF(OR(O33=""),"",(O33-Std_Curves!$B$14)/Std_Curves!$B$13))</f>
        <v/>
      </c>
      <c r="R33" s="23" t="str">
        <f aca="false">IF(OR(Q33="",P33="",N33=""),"",(Q33*P33/115.13)/(N33/5))</f>
        <v/>
      </c>
      <c r="S33" s="14"/>
      <c r="T33" s="14"/>
      <c r="U33" s="14"/>
      <c r="V33" s="14"/>
      <c r="W33" s="14"/>
      <c r="X33" s="23" t="str">
        <f aca="false">IF(OR(V33="",S33="",T33="",U33=""),"",V33*T33/1000*U33/S33)</f>
        <v/>
      </c>
      <c r="Y33" s="23" t="str">
        <f aca="false">IF(OR(W33="",S33="",T33="",U33=""),"",W33*T33/1000*U33/S33)</f>
        <v/>
      </c>
      <c r="Z33" s="23" t="str">
        <f aca="false">IF(OR(X33="",Y33=""),"",(Y33/39.1)/(X33/22.99))</f>
        <v/>
      </c>
      <c r="AA33" s="14"/>
      <c r="AB33" s="14"/>
      <c r="AC33" s="14"/>
      <c r="AD33" s="14"/>
      <c r="AE33" s="14"/>
      <c r="AF33" s="23" t="str">
        <f aca="false">IF(OR(AD33="",AA33="",AB33="",AC33=""),"",AD33*AB33/1000*AC33/AA33)</f>
        <v/>
      </c>
      <c r="AG33" s="23" t="str">
        <f aca="false">IF(OR(AE33="",AA33="",AB33="",AC33=""),"",AE33*AB33/1000*AC33/AA33)</f>
        <v/>
      </c>
      <c r="AH33" s="23" t="str">
        <f aca="false">IF(OR(AF33="",AG33=""),"",(AG33/39.1)/(AF33/22.99))</f>
        <v/>
      </c>
    </row>
    <row r="34" customFormat="false" ht="15" hidden="false" customHeight="false" outlineLevel="0" collapsed="false">
      <c r="A34" s="13" t="s">
        <v>181</v>
      </c>
      <c r="B34" s="13" t="s">
        <v>178</v>
      </c>
      <c r="C34" s="13" t="s">
        <v>168</v>
      </c>
      <c r="D34" s="13" t="n">
        <v>100</v>
      </c>
      <c r="E34" s="13" t="n">
        <v>4</v>
      </c>
      <c r="F34" s="14"/>
      <c r="G34" s="14"/>
      <c r="H34" s="23" t="str">
        <f aca="false">IF(OR(F34="",G34=""),"",G34/F34)</f>
        <v/>
      </c>
      <c r="I34" s="14"/>
      <c r="J34" s="14"/>
      <c r="K34" s="14"/>
      <c r="L34" s="14"/>
      <c r="M34" s="23" t="str">
        <f aca="false">IF(OR(K34="",L34="",I34="",J34=""),"",((K34-L34)/155)*1000*J34/I34)</f>
        <v/>
      </c>
      <c r="N34" s="14"/>
      <c r="O34" s="14"/>
      <c r="P34" s="14"/>
      <c r="Q34" s="23" t="str">
        <f aca="false">IF(OR(ISNUMBER(Std_Curves!$B$13)=FALSE()),"",IF(OR(O34=""),"",(O34-Std_Curves!$B$14)/Std_Curves!$B$13))</f>
        <v/>
      </c>
      <c r="R34" s="23" t="str">
        <f aca="false">IF(OR(Q34="",P34="",N34=""),"",(Q34*P34/115.13)/(N34/5))</f>
        <v/>
      </c>
      <c r="S34" s="14"/>
      <c r="T34" s="14"/>
      <c r="U34" s="14"/>
      <c r="V34" s="14"/>
      <c r="W34" s="14"/>
      <c r="X34" s="23" t="str">
        <f aca="false">IF(OR(V34="",S34="",T34="",U34=""),"",V34*T34/1000*U34/S34)</f>
        <v/>
      </c>
      <c r="Y34" s="23" t="str">
        <f aca="false">IF(OR(W34="",S34="",T34="",U34=""),"",W34*T34/1000*U34/S34)</f>
        <v/>
      </c>
      <c r="Z34" s="23" t="str">
        <f aca="false">IF(OR(X34="",Y34=""),"",(Y34/39.1)/(X34/22.99))</f>
        <v/>
      </c>
      <c r="AA34" s="14"/>
      <c r="AB34" s="14"/>
      <c r="AC34" s="14"/>
      <c r="AD34" s="14"/>
      <c r="AE34" s="14"/>
      <c r="AF34" s="23" t="str">
        <f aca="false">IF(OR(AD34="",AA34="",AB34="",AC34=""),"",AD34*AB34/1000*AC34/AA34)</f>
        <v/>
      </c>
      <c r="AG34" s="23" t="str">
        <f aca="false">IF(OR(AE34="",AA34="",AB34="",AC34=""),"",AE34*AB34/1000*AC34/AA34)</f>
        <v/>
      </c>
      <c r="AH34" s="23" t="str">
        <f aca="false">IF(OR(AF34="",AG34=""),"",(AG34/39.1)/(AF34/22.99))</f>
        <v/>
      </c>
    </row>
    <row r="35" customFormat="false" ht="15" hidden="false" customHeight="false" outlineLevel="0" collapsed="false">
      <c r="A35" s="13" t="s">
        <v>182</v>
      </c>
      <c r="B35" s="13" t="s">
        <v>183</v>
      </c>
      <c r="C35" s="13" t="s">
        <v>168</v>
      </c>
      <c r="D35" s="13" t="n">
        <v>150</v>
      </c>
      <c r="E35" s="13" t="n">
        <v>1</v>
      </c>
      <c r="F35" s="14"/>
      <c r="G35" s="14"/>
      <c r="H35" s="23" t="str">
        <f aca="false">IF(OR(F35="",G35=""),"",G35/F35)</f>
        <v/>
      </c>
      <c r="I35" s="14"/>
      <c r="J35" s="14"/>
      <c r="K35" s="14"/>
      <c r="L35" s="14"/>
      <c r="M35" s="23" t="str">
        <f aca="false">IF(OR(K35="",L35="",I35="",J35=""),"",((K35-L35)/155)*1000*J35/I35)</f>
        <v/>
      </c>
      <c r="N35" s="14"/>
      <c r="O35" s="14"/>
      <c r="P35" s="14"/>
      <c r="Q35" s="23" t="str">
        <f aca="false">IF(OR(ISNUMBER(Std_Curves!$B$13)=FALSE()),"",IF(OR(O35=""),"",(O35-Std_Curves!$B$14)/Std_Curves!$B$13))</f>
        <v/>
      </c>
      <c r="R35" s="23" t="str">
        <f aca="false">IF(OR(Q35="",P35="",N35=""),"",(Q35*P35/115.13)/(N35/5))</f>
        <v/>
      </c>
      <c r="S35" s="14"/>
      <c r="T35" s="14"/>
      <c r="U35" s="14"/>
      <c r="V35" s="14"/>
      <c r="W35" s="14"/>
      <c r="X35" s="23" t="str">
        <f aca="false">IF(OR(V35="",S35="",T35="",U35=""),"",V35*T35/1000*U35/S35)</f>
        <v/>
      </c>
      <c r="Y35" s="23" t="str">
        <f aca="false">IF(OR(W35="",S35="",T35="",U35=""),"",W35*T35/1000*U35/S35)</f>
        <v/>
      </c>
      <c r="Z35" s="23" t="str">
        <f aca="false">IF(OR(X35="",Y35=""),"",(Y35/39.1)/(X35/22.99))</f>
        <v/>
      </c>
      <c r="AA35" s="14"/>
      <c r="AB35" s="14"/>
      <c r="AC35" s="14"/>
      <c r="AD35" s="14"/>
      <c r="AE35" s="14"/>
      <c r="AF35" s="23" t="str">
        <f aca="false">IF(OR(AD35="",AA35="",AB35="",AC35=""),"",AD35*AB35/1000*AC35/AA35)</f>
        <v/>
      </c>
      <c r="AG35" s="23" t="str">
        <f aca="false">IF(OR(AE35="",AA35="",AB35="",AC35=""),"",AE35*AB35/1000*AC35/AA35)</f>
        <v/>
      </c>
      <c r="AH35" s="23" t="str">
        <f aca="false">IF(OR(AF35="",AG35=""),"",(AG35/39.1)/(AF35/22.99))</f>
        <v/>
      </c>
    </row>
    <row r="36" customFormat="false" ht="15" hidden="false" customHeight="false" outlineLevel="0" collapsed="false">
      <c r="A36" s="13" t="s">
        <v>184</v>
      </c>
      <c r="B36" s="13" t="s">
        <v>183</v>
      </c>
      <c r="C36" s="13" t="s">
        <v>168</v>
      </c>
      <c r="D36" s="13" t="n">
        <v>150</v>
      </c>
      <c r="E36" s="13" t="n">
        <v>2</v>
      </c>
      <c r="F36" s="14"/>
      <c r="G36" s="14"/>
      <c r="H36" s="23" t="str">
        <f aca="false">IF(OR(F36="",G36=""),"",G36/F36)</f>
        <v/>
      </c>
      <c r="I36" s="14"/>
      <c r="J36" s="14"/>
      <c r="K36" s="14"/>
      <c r="L36" s="14"/>
      <c r="M36" s="23" t="str">
        <f aca="false">IF(OR(K36="",L36="",I36="",J36=""),"",((K36-L36)/155)*1000*J36/I36)</f>
        <v/>
      </c>
      <c r="N36" s="14"/>
      <c r="O36" s="14"/>
      <c r="P36" s="14"/>
      <c r="Q36" s="23" t="str">
        <f aca="false">IF(OR(ISNUMBER(Std_Curves!$B$13)=FALSE()),"",IF(OR(O36=""),"",(O36-Std_Curves!$B$14)/Std_Curves!$B$13))</f>
        <v/>
      </c>
      <c r="R36" s="23" t="str">
        <f aca="false">IF(OR(Q36="",P36="",N36=""),"",(Q36*P36/115.13)/(N36/5))</f>
        <v/>
      </c>
      <c r="S36" s="14"/>
      <c r="T36" s="14"/>
      <c r="U36" s="14"/>
      <c r="V36" s="14"/>
      <c r="W36" s="14"/>
      <c r="X36" s="23" t="str">
        <f aca="false">IF(OR(V36="",S36="",T36="",U36=""),"",V36*T36/1000*U36/S36)</f>
        <v/>
      </c>
      <c r="Y36" s="23" t="str">
        <f aca="false">IF(OR(W36="",S36="",T36="",U36=""),"",W36*T36/1000*U36/S36)</f>
        <v/>
      </c>
      <c r="Z36" s="23" t="str">
        <f aca="false">IF(OR(X36="",Y36=""),"",(Y36/39.1)/(X36/22.99))</f>
        <v/>
      </c>
      <c r="AA36" s="14"/>
      <c r="AB36" s="14"/>
      <c r="AC36" s="14"/>
      <c r="AD36" s="14"/>
      <c r="AE36" s="14"/>
      <c r="AF36" s="23" t="str">
        <f aca="false">IF(OR(AD36="",AA36="",AB36="",AC36=""),"",AD36*AB36/1000*AC36/AA36)</f>
        <v/>
      </c>
      <c r="AG36" s="23" t="str">
        <f aca="false">IF(OR(AE36="",AA36="",AB36="",AC36=""),"",AE36*AB36/1000*AC36/AA36)</f>
        <v/>
      </c>
      <c r="AH36" s="23" t="str">
        <f aca="false">IF(OR(AF36="",AG36=""),"",(AG36/39.1)/(AF36/22.99))</f>
        <v/>
      </c>
    </row>
    <row r="37" customFormat="false" ht="15" hidden="false" customHeight="false" outlineLevel="0" collapsed="false">
      <c r="A37" s="13" t="s">
        <v>185</v>
      </c>
      <c r="B37" s="13" t="s">
        <v>183</v>
      </c>
      <c r="C37" s="13" t="s">
        <v>168</v>
      </c>
      <c r="D37" s="13" t="n">
        <v>150</v>
      </c>
      <c r="E37" s="13" t="n">
        <v>3</v>
      </c>
      <c r="F37" s="14"/>
      <c r="G37" s="14"/>
      <c r="H37" s="23" t="str">
        <f aca="false">IF(OR(F37="",G37=""),"",G37/F37)</f>
        <v/>
      </c>
      <c r="I37" s="14"/>
      <c r="J37" s="14"/>
      <c r="K37" s="14"/>
      <c r="L37" s="14"/>
      <c r="M37" s="23" t="str">
        <f aca="false">IF(OR(K37="",L37="",I37="",J37=""),"",((K37-L37)/155)*1000*J37/I37)</f>
        <v/>
      </c>
      <c r="N37" s="14"/>
      <c r="O37" s="14"/>
      <c r="P37" s="14"/>
      <c r="Q37" s="23" t="str">
        <f aca="false">IF(OR(ISNUMBER(Std_Curves!$B$13)=FALSE()),"",IF(OR(O37=""),"",(O37-Std_Curves!$B$14)/Std_Curves!$B$13))</f>
        <v/>
      </c>
      <c r="R37" s="23" t="str">
        <f aca="false">IF(OR(Q37="",P37="",N37=""),"",(Q37*P37/115.13)/(N37/5))</f>
        <v/>
      </c>
      <c r="S37" s="14"/>
      <c r="T37" s="14"/>
      <c r="U37" s="14"/>
      <c r="V37" s="14"/>
      <c r="W37" s="14"/>
      <c r="X37" s="23" t="str">
        <f aca="false">IF(OR(V37="",S37="",T37="",U37=""),"",V37*T37/1000*U37/S37)</f>
        <v/>
      </c>
      <c r="Y37" s="23" t="str">
        <f aca="false">IF(OR(W37="",S37="",T37="",U37=""),"",W37*T37/1000*U37/S37)</f>
        <v/>
      </c>
      <c r="Z37" s="23" t="str">
        <f aca="false">IF(OR(X37="",Y37=""),"",(Y37/39.1)/(X37/22.99))</f>
        <v/>
      </c>
      <c r="AA37" s="14"/>
      <c r="AB37" s="14"/>
      <c r="AC37" s="14"/>
      <c r="AD37" s="14"/>
      <c r="AE37" s="14"/>
      <c r="AF37" s="23" t="str">
        <f aca="false">IF(OR(AD37="",AA37="",AB37="",AC37=""),"",AD37*AB37/1000*AC37/AA37)</f>
        <v/>
      </c>
      <c r="AG37" s="23" t="str">
        <f aca="false">IF(OR(AE37="",AA37="",AB37="",AC37=""),"",AE37*AB37/1000*AC37/AA37)</f>
        <v/>
      </c>
      <c r="AH37" s="23" t="str">
        <f aca="false">IF(OR(AF37="",AG37=""),"",(AG37/39.1)/(AF37/22.99))</f>
        <v/>
      </c>
    </row>
    <row r="38" customFormat="false" ht="15" hidden="false" customHeight="false" outlineLevel="0" collapsed="false">
      <c r="A38" s="13" t="s">
        <v>186</v>
      </c>
      <c r="B38" s="13" t="s">
        <v>183</v>
      </c>
      <c r="C38" s="13" t="s">
        <v>168</v>
      </c>
      <c r="D38" s="13" t="n">
        <v>150</v>
      </c>
      <c r="E38" s="13" t="n">
        <v>4</v>
      </c>
      <c r="F38" s="14"/>
      <c r="G38" s="14"/>
      <c r="H38" s="23" t="str">
        <f aca="false">IF(OR(F38="",G38=""),"",G38/F38)</f>
        <v/>
      </c>
      <c r="I38" s="14"/>
      <c r="J38" s="14"/>
      <c r="K38" s="14"/>
      <c r="L38" s="14"/>
      <c r="M38" s="23" t="str">
        <f aca="false">IF(OR(K38="",L38="",I38="",J38=""),"",((K38-L38)/155)*1000*J38/I38)</f>
        <v/>
      </c>
      <c r="N38" s="14"/>
      <c r="O38" s="14"/>
      <c r="P38" s="14"/>
      <c r="Q38" s="23" t="str">
        <f aca="false">IF(OR(ISNUMBER(Std_Curves!$B$13)=FALSE()),"",IF(OR(O38=""),"",(O38-Std_Curves!$B$14)/Std_Curves!$B$13))</f>
        <v/>
      </c>
      <c r="R38" s="23" t="str">
        <f aca="false">IF(OR(Q38="",P38="",N38=""),"",(Q38*P38/115.13)/(N38/5))</f>
        <v/>
      </c>
      <c r="S38" s="14"/>
      <c r="T38" s="14"/>
      <c r="U38" s="14"/>
      <c r="V38" s="14"/>
      <c r="W38" s="14"/>
      <c r="X38" s="23" t="str">
        <f aca="false">IF(OR(V38="",S38="",T38="",U38=""),"",V38*T38/1000*U38/S38)</f>
        <v/>
      </c>
      <c r="Y38" s="23" t="str">
        <f aca="false">IF(OR(W38="",S38="",T38="",U38=""),"",W38*T38/1000*U38/S38)</f>
        <v/>
      </c>
      <c r="Z38" s="23" t="str">
        <f aca="false">IF(OR(X38="",Y38=""),"",(Y38/39.1)/(X38/22.99))</f>
        <v/>
      </c>
      <c r="AA38" s="14"/>
      <c r="AB38" s="14"/>
      <c r="AC38" s="14"/>
      <c r="AD38" s="14"/>
      <c r="AE38" s="14"/>
      <c r="AF38" s="23" t="str">
        <f aca="false">IF(OR(AD38="",AA38="",AB38="",AC38=""),"",AD38*AB38/1000*AC38/AA38)</f>
        <v/>
      </c>
      <c r="AG38" s="23" t="str">
        <f aca="false">IF(OR(AE38="",AA38="",AB38="",AC38=""),"",AE38*AB38/1000*AC38/AA38)</f>
        <v/>
      </c>
      <c r="AH38" s="23" t="str">
        <f aca="false">IF(OR(AF38="",AG38=""),"",(AG38/39.1)/(AF38/22.99))</f>
        <v/>
      </c>
    </row>
    <row r="39" customFormat="false" ht="15" hidden="false" customHeight="false" outlineLevel="0" collapsed="false">
      <c r="A39" s="13" t="s">
        <v>187</v>
      </c>
      <c r="B39" s="13" t="s">
        <v>188</v>
      </c>
      <c r="C39" s="13" t="s">
        <v>189</v>
      </c>
      <c r="D39" s="13" t="n">
        <v>0</v>
      </c>
      <c r="E39" s="13" t="n">
        <v>1</v>
      </c>
      <c r="F39" s="14"/>
      <c r="G39" s="14"/>
      <c r="H39" s="23" t="str">
        <f aca="false">IF(OR(F39="",G39=""),"",G39/F39)</f>
        <v/>
      </c>
      <c r="I39" s="14"/>
      <c r="J39" s="14"/>
      <c r="K39" s="14"/>
      <c r="L39" s="14"/>
      <c r="M39" s="23" t="str">
        <f aca="false">IF(OR(K39="",L39="",I39="",J39=""),"",((K39-L39)/155)*1000*J39/I39)</f>
        <v/>
      </c>
      <c r="N39" s="14"/>
      <c r="O39" s="14"/>
      <c r="P39" s="14"/>
      <c r="Q39" s="23" t="str">
        <f aca="false">IF(OR(ISNUMBER(Std_Curves!$B$13)=FALSE()),"",IF(OR(O39=""),"",(O39-Std_Curves!$B$14)/Std_Curves!$B$13))</f>
        <v/>
      </c>
      <c r="R39" s="23" t="str">
        <f aca="false">IF(OR(Q39="",P39="",N39=""),"",(Q39*P39/115.13)/(N39/5))</f>
        <v/>
      </c>
      <c r="S39" s="14"/>
      <c r="T39" s="14"/>
      <c r="U39" s="14"/>
      <c r="V39" s="14"/>
      <c r="W39" s="14"/>
      <c r="X39" s="23" t="str">
        <f aca="false">IF(OR(V39="",S39="",T39="",U39=""),"",V39*T39/1000*U39/S39)</f>
        <v/>
      </c>
      <c r="Y39" s="23" t="str">
        <f aca="false">IF(OR(W39="",S39="",T39="",U39=""),"",W39*T39/1000*U39/S39)</f>
        <v/>
      </c>
      <c r="Z39" s="23" t="str">
        <f aca="false">IF(OR(X39="",Y39=""),"",(Y39/39.1)/(X39/22.99))</f>
        <v/>
      </c>
      <c r="AA39" s="14"/>
      <c r="AB39" s="14"/>
      <c r="AC39" s="14"/>
      <c r="AD39" s="14"/>
      <c r="AE39" s="14"/>
      <c r="AF39" s="23" t="str">
        <f aca="false">IF(OR(AD39="",AA39="",AB39="",AC39=""),"",AD39*AB39/1000*AC39/AA39)</f>
        <v/>
      </c>
      <c r="AG39" s="23" t="str">
        <f aca="false">IF(OR(AE39="",AA39="",AB39="",AC39=""),"",AE39*AB39/1000*AC39/AA39)</f>
        <v/>
      </c>
      <c r="AH39" s="23" t="str">
        <f aca="false">IF(OR(AF39="",AG39=""),"",(AG39/39.1)/(AF39/22.99))</f>
        <v/>
      </c>
    </row>
    <row r="40" customFormat="false" ht="15" hidden="false" customHeight="false" outlineLevel="0" collapsed="false">
      <c r="A40" s="13" t="s">
        <v>190</v>
      </c>
      <c r="B40" s="13" t="s">
        <v>188</v>
      </c>
      <c r="C40" s="13" t="s">
        <v>189</v>
      </c>
      <c r="D40" s="13" t="n">
        <v>0</v>
      </c>
      <c r="E40" s="13" t="n">
        <v>2</v>
      </c>
      <c r="F40" s="14"/>
      <c r="G40" s="14"/>
      <c r="H40" s="23" t="str">
        <f aca="false">IF(OR(F40="",G40=""),"",G40/F40)</f>
        <v/>
      </c>
      <c r="I40" s="14"/>
      <c r="J40" s="14"/>
      <c r="K40" s="14"/>
      <c r="L40" s="14"/>
      <c r="M40" s="23" t="str">
        <f aca="false">IF(OR(K40="",L40="",I40="",J40=""),"",((K40-L40)/155)*1000*J40/I40)</f>
        <v/>
      </c>
      <c r="N40" s="14"/>
      <c r="O40" s="14"/>
      <c r="P40" s="14"/>
      <c r="Q40" s="23" t="str">
        <f aca="false">IF(OR(ISNUMBER(Std_Curves!$B$13)=FALSE()),"",IF(OR(O40=""),"",(O40-Std_Curves!$B$14)/Std_Curves!$B$13))</f>
        <v/>
      </c>
      <c r="R40" s="23" t="str">
        <f aca="false">IF(OR(Q40="",P40="",N40=""),"",(Q40*P40/115.13)/(N40/5))</f>
        <v/>
      </c>
      <c r="S40" s="14"/>
      <c r="T40" s="14"/>
      <c r="U40" s="14"/>
      <c r="V40" s="14"/>
      <c r="W40" s="14"/>
      <c r="X40" s="23" t="str">
        <f aca="false">IF(OR(V40="",S40="",T40="",U40=""),"",V40*T40/1000*U40/S40)</f>
        <v/>
      </c>
      <c r="Y40" s="23" t="str">
        <f aca="false">IF(OR(W40="",S40="",T40="",U40=""),"",W40*T40/1000*U40/S40)</f>
        <v/>
      </c>
      <c r="Z40" s="23" t="str">
        <f aca="false">IF(OR(X40="",Y40=""),"",(Y40/39.1)/(X40/22.99))</f>
        <v/>
      </c>
      <c r="AA40" s="14"/>
      <c r="AB40" s="14"/>
      <c r="AC40" s="14"/>
      <c r="AD40" s="14"/>
      <c r="AE40" s="14"/>
      <c r="AF40" s="23" t="str">
        <f aca="false">IF(OR(AD40="",AA40="",AB40="",AC40=""),"",AD40*AB40/1000*AC40/AA40)</f>
        <v/>
      </c>
      <c r="AG40" s="23" t="str">
        <f aca="false">IF(OR(AE40="",AA40="",AB40="",AC40=""),"",AE40*AB40/1000*AC40/AA40)</f>
        <v/>
      </c>
      <c r="AH40" s="23" t="str">
        <f aca="false">IF(OR(AF40="",AG40=""),"",(AG40/39.1)/(AF40/22.99))</f>
        <v/>
      </c>
    </row>
    <row r="41" customFormat="false" ht="15" hidden="false" customHeight="false" outlineLevel="0" collapsed="false">
      <c r="A41" s="13" t="s">
        <v>191</v>
      </c>
      <c r="B41" s="13" t="s">
        <v>188</v>
      </c>
      <c r="C41" s="13" t="s">
        <v>189</v>
      </c>
      <c r="D41" s="13" t="n">
        <v>0</v>
      </c>
      <c r="E41" s="13" t="n">
        <v>3</v>
      </c>
      <c r="F41" s="14"/>
      <c r="G41" s="14"/>
      <c r="H41" s="23" t="str">
        <f aca="false">IF(OR(F41="",G41=""),"",G41/F41)</f>
        <v/>
      </c>
      <c r="I41" s="14"/>
      <c r="J41" s="14"/>
      <c r="K41" s="14"/>
      <c r="L41" s="14"/>
      <c r="M41" s="23" t="str">
        <f aca="false">IF(OR(K41="",L41="",I41="",J41=""),"",((K41-L41)/155)*1000*J41/I41)</f>
        <v/>
      </c>
      <c r="N41" s="14"/>
      <c r="O41" s="14"/>
      <c r="P41" s="14"/>
      <c r="Q41" s="23" t="str">
        <f aca="false">IF(OR(ISNUMBER(Std_Curves!$B$13)=FALSE()),"",IF(OR(O41=""),"",(O41-Std_Curves!$B$14)/Std_Curves!$B$13))</f>
        <v/>
      </c>
      <c r="R41" s="23" t="str">
        <f aca="false">IF(OR(Q41="",P41="",N41=""),"",(Q41*P41/115.13)/(N41/5))</f>
        <v/>
      </c>
      <c r="S41" s="14"/>
      <c r="T41" s="14"/>
      <c r="U41" s="14"/>
      <c r="V41" s="14"/>
      <c r="W41" s="14"/>
      <c r="X41" s="23" t="str">
        <f aca="false">IF(OR(V41="",S41="",T41="",U41=""),"",V41*T41/1000*U41/S41)</f>
        <v/>
      </c>
      <c r="Y41" s="23" t="str">
        <f aca="false">IF(OR(W41="",S41="",T41="",U41=""),"",W41*T41/1000*U41/S41)</f>
        <v/>
      </c>
      <c r="Z41" s="23" t="str">
        <f aca="false">IF(OR(X41="",Y41=""),"",(Y41/39.1)/(X41/22.99))</f>
        <v/>
      </c>
      <c r="AA41" s="14"/>
      <c r="AB41" s="14"/>
      <c r="AC41" s="14"/>
      <c r="AD41" s="14"/>
      <c r="AE41" s="14"/>
      <c r="AF41" s="23" t="str">
        <f aca="false">IF(OR(AD41="",AA41="",AB41="",AC41=""),"",AD41*AB41/1000*AC41/AA41)</f>
        <v/>
      </c>
      <c r="AG41" s="23" t="str">
        <f aca="false">IF(OR(AE41="",AA41="",AB41="",AC41=""),"",AE41*AB41/1000*AC41/AA41)</f>
        <v/>
      </c>
      <c r="AH41" s="23" t="str">
        <f aca="false">IF(OR(AF41="",AG41=""),"",(AG41/39.1)/(AF41/22.99))</f>
        <v/>
      </c>
    </row>
    <row r="42" customFormat="false" ht="15" hidden="false" customHeight="false" outlineLevel="0" collapsed="false">
      <c r="A42" s="13" t="s">
        <v>192</v>
      </c>
      <c r="B42" s="13" t="s">
        <v>188</v>
      </c>
      <c r="C42" s="13" t="s">
        <v>189</v>
      </c>
      <c r="D42" s="13" t="n">
        <v>0</v>
      </c>
      <c r="E42" s="13" t="n">
        <v>4</v>
      </c>
      <c r="F42" s="14"/>
      <c r="G42" s="14"/>
      <c r="H42" s="23" t="str">
        <f aca="false">IF(OR(F42="",G42=""),"",G42/F42)</f>
        <v/>
      </c>
      <c r="I42" s="14"/>
      <c r="J42" s="14"/>
      <c r="K42" s="14"/>
      <c r="L42" s="14"/>
      <c r="M42" s="23" t="str">
        <f aca="false">IF(OR(K42="",L42="",I42="",J42=""),"",((K42-L42)/155)*1000*J42/I42)</f>
        <v/>
      </c>
      <c r="N42" s="14"/>
      <c r="O42" s="14"/>
      <c r="P42" s="14"/>
      <c r="Q42" s="23" t="str">
        <f aca="false">IF(OR(ISNUMBER(Std_Curves!$B$13)=FALSE()),"",IF(OR(O42=""),"",(O42-Std_Curves!$B$14)/Std_Curves!$B$13))</f>
        <v/>
      </c>
      <c r="R42" s="23" t="str">
        <f aca="false">IF(OR(Q42="",P42="",N42=""),"",(Q42*P42/115.13)/(N42/5))</f>
        <v/>
      </c>
      <c r="S42" s="14"/>
      <c r="T42" s="14"/>
      <c r="U42" s="14"/>
      <c r="V42" s="14"/>
      <c r="W42" s="14"/>
      <c r="X42" s="23" t="str">
        <f aca="false">IF(OR(V42="",S42="",T42="",U42=""),"",V42*T42/1000*U42/S42)</f>
        <v/>
      </c>
      <c r="Y42" s="23" t="str">
        <f aca="false">IF(OR(W42="",S42="",T42="",U42=""),"",W42*T42/1000*U42/S42)</f>
        <v/>
      </c>
      <c r="Z42" s="23" t="str">
        <f aca="false">IF(OR(X42="",Y42=""),"",(Y42/39.1)/(X42/22.99))</f>
        <v/>
      </c>
      <c r="AA42" s="14"/>
      <c r="AB42" s="14"/>
      <c r="AC42" s="14"/>
      <c r="AD42" s="14"/>
      <c r="AE42" s="14"/>
      <c r="AF42" s="23" t="str">
        <f aca="false">IF(OR(AD42="",AA42="",AB42="",AC42=""),"",AD42*AB42/1000*AC42/AA42)</f>
        <v/>
      </c>
      <c r="AG42" s="23" t="str">
        <f aca="false">IF(OR(AE42="",AA42="",AB42="",AC42=""),"",AE42*AB42/1000*AC42/AA42)</f>
        <v/>
      </c>
      <c r="AH42" s="23" t="str">
        <f aca="false">IF(OR(AF42="",AG42=""),"",(AG42/39.1)/(AF42/22.99))</f>
        <v/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189</v>
      </c>
      <c r="D43" s="13" t="n">
        <v>50</v>
      </c>
      <c r="E43" s="13" t="n">
        <v>1</v>
      </c>
      <c r="F43" s="14"/>
      <c r="G43" s="14"/>
      <c r="H43" s="23" t="str">
        <f aca="false">IF(OR(F43="",G43=""),"",G43/F43)</f>
        <v/>
      </c>
      <c r="I43" s="14"/>
      <c r="J43" s="14"/>
      <c r="K43" s="14"/>
      <c r="L43" s="14"/>
      <c r="M43" s="23" t="str">
        <f aca="false">IF(OR(K43="",L43="",I43="",J43=""),"",((K43-L43)/155)*1000*J43/I43)</f>
        <v/>
      </c>
      <c r="N43" s="14"/>
      <c r="O43" s="14"/>
      <c r="P43" s="14"/>
      <c r="Q43" s="23" t="str">
        <f aca="false">IF(OR(ISNUMBER(Std_Curves!$B$13)=FALSE()),"",IF(OR(O43=""),"",(O43-Std_Curves!$B$14)/Std_Curves!$B$13))</f>
        <v/>
      </c>
      <c r="R43" s="23" t="str">
        <f aca="false">IF(OR(Q43="",P43="",N43=""),"",(Q43*P43/115.13)/(N43/5))</f>
        <v/>
      </c>
      <c r="S43" s="14"/>
      <c r="T43" s="14"/>
      <c r="U43" s="14"/>
      <c r="V43" s="14"/>
      <c r="W43" s="14"/>
      <c r="X43" s="23" t="str">
        <f aca="false">IF(OR(V43="",S43="",T43="",U43=""),"",V43*T43/1000*U43/S43)</f>
        <v/>
      </c>
      <c r="Y43" s="23" t="str">
        <f aca="false">IF(OR(W43="",S43="",T43="",U43=""),"",W43*T43/1000*U43/S43)</f>
        <v/>
      </c>
      <c r="Z43" s="23" t="str">
        <f aca="false">IF(OR(X43="",Y43=""),"",(Y43/39.1)/(X43/22.99))</f>
        <v/>
      </c>
      <c r="AA43" s="14"/>
      <c r="AB43" s="14"/>
      <c r="AC43" s="14"/>
      <c r="AD43" s="14"/>
      <c r="AE43" s="14"/>
      <c r="AF43" s="23" t="str">
        <f aca="false">IF(OR(AD43="",AA43="",AB43="",AC43=""),"",AD43*AB43/1000*AC43/AA43)</f>
        <v/>
      </c>
      <c r="AG43" s="23" t="str">
        <f aca="false">IF(OR(AE43="",AA43="",AB43="",AC43=""),"",AE43*AB43/1000*AC43/AA43)</f>
        <v/>
      </c>
      <c r="AH43" s="23" t="str">
        <f aca="false">IF(OR(AF43="",AG43=""),"",(AG43/39.1)/(AF43/22.99))</f>
        <v/>
      </c>
    </row>
    <row r="44" customFormat="false" ht="15" hidden="false" customHeight="false" outlineLevel="0" collapsed="false">
      <c r="A44" s="13" t="s">
        <v>195</v>
      </c>
      <c r="B44" s="13" t="s">
        <v>194</v>
      </c>
      <c r="C44" s="13" t="s">
        <v>189</v>
      </c>
      <c r="D44" s="13" t="n">
        <v>50</v>
      </c>
      <c r="E44" s="13" t="n">
        <v>2</v>
      </c>
      <c r="F44" s="14"/>
      <c r="G44" s="14"/>
      <c r="H44" s="23" t="str">
        <f aca="false">IF(OR(F44="",G44=""),"",G44/F44)</f>
        <v/>
      </c>
      <c r="I44" s="14"/>
      <c r="J44" s="14"/>
      <c r="K44" s="14"/>
      <c r="L44" s="14"/>
      <c r="M44" s="23" t="str">
        <f aca="false">IF(OR(K44="",L44="",I44="",J44=""),"",((K44-L44)/155)*1000*J44/I44)</f>
        <v/>
      </c>
      <c r="N44" s="14"/>
      <c r="O44" s="14"/>
      <c r="P44" s="14"/>
      <c r="Q44" s="23" t="str">
        <f aca="false">IF(OR(ISNUMBER(Std_Curves!$B$13)=FALSE()),"",IF(OR(O44=""),"",(O44-Std_Curves!$B$14)/Std_Curves!$B$13))</f>
        <v/>
      </c>
      <c r="R44" s="23" t="str">
        <f aca="false">IF(OR(Q44="",P44="",N44=""),"",(Q44*P44/115.13)/(N44/5))</f>
        <v/>
      </c>
      <c r="S44" s="14"/>
      <c r="T44" s="14"/>
      <c r="U44" s="14"/>
      <c r="V44" s="14"/>
      <c r="W44" s="14"/>
      <c r="X44" s="23" t="str">
        <f aca="false">IF(OR(V44="",S44="",T44="",U44=""),"",V44*T44/1000*U44/S44)</f>
        <v/>
      </c>
      <c r="Y44" s="23" t="str">
        <f aca="false">IF(OR(W44="",S44="",T44="",U44=""),"",W44*T44/1000*U44/S44)</f>
        <v/>
      </c>
      <c r="Z44" s="23" t="str">
        <f aca="false">IF(OR(X44="",Y44=""),"",(Y44/39.1)/(X44/22.99))</f>
        <v/>
      </c>
      <c r="AA44" s="14"/>
      <c r="AB44" s="14"/>
      <c r="AC44" s="14"/>
      <c r="AD44" s="14"/>
      <c r="AE44" s="14"/>
      <c r="AF44" s="23" t="str">
        <f aca="false">IF(OR(AD44="",AA44="",AB44="",AC44=""),"",AD44*AB44/1000*AC44/AA44)</f>
        <v/>
      </c>
      <c r="AG44" s="23" t="str">
        <f aca="false">IF(OR(AE44="",AA44="",AB44="",AC44=""),"",AE44*AB44/1000*AC44/AA44)</f>
        <v/>
      </c>
      <c r="AH44" s="23" t="str">
        <f aca="false">IF(OR(AF44="",AG44=""),"",(AG44/39.1)/(AF44/22.99))</f>
        <v/>
      </c>
    </row>
    <row r="45" customFormat="false" ht="15" hidden="false" customHeight="false" outlineLevel="0" collapsed="false">
      <c r="A45" s="13" t="s">
        <v>196</v>
      </c>
      <c r="B45" s="13" t="s">
        <v>194</v>
      </c>
      <c r="C45" s="13" t="s">
        <v>189</v>
      </c>
      <c r="D45" s="13" t="n">
        <v>50</v>
      </c>
      <c r="E45" s="13" t="n">
        <v>3</v>
      </c>
      <c r="F45" s="14"/>
      <c r="G45" s="14"/>
      <c r="H45" s="23" t="str">
        <f aca="false">IF(OR(F45="",G45=""),"",G45/F45)</f>
        <v/>
      </c>
      <c r="I45" s="14"/>
      <c r="J45" s="14"/>
      <c r="K45" s="14"/>
      <c r="L45" s="14"/>
      <c r="M45" s="23" t="str">
        <f aca="false">IF(OR(K45="",L45="",I45="",J45=""),"",((K45-L45)/155)*1000*J45/I45)</f>
        <v/>
      </c>
      <c r="N45" s="14"/>
      <c r="O45" s="14"/>
      <c r="P45" s="14"/>
      <c r="Q45" s="23" t="str">
        <f aca="false">IF(OR(ISNUMBER(Std_Curves!$B$13)=FALSE()),"",IF(OR(O45=""),"",(O45-Std_Curves!$B$14)/Std_Curves!$B$13))</f>
        <v/>
      </c>
      <c r="R45" s="23" t="str">
        <f aca="false">IF(OR(Q45="",P45="",N45=""),"",(Q45*P45/115.13)/(N45/5))</f>
        <v/>
      </c>
      <c r="S45" s="14"/>
      <c r="T45" s="14"/>
      <c r="U45" s="14"/>
      <c r="V45" s="14"/>
      <c r="W45" s="14"/>
      <c r="X45" s="23" t="str">
        <f aca="false">IF(OR(V45="",S45="",T45="",U45=""),"",V45*T45/1000*U45/S45)</f>
        <v/>
      </c>
      <c r="Y45" s="23" t="str">
        <f aca="false">IF(OR(W45="",S45="",T45="",U45=""),"",W45*T45/1000*U45/S45)</f>
        <v/>
      </c>
      <c r="Z45" s="23" t="str">
        <f aca="false">IF(OR(X45="",Y45=""),"",(Y45/39.1)/(X45/22.99))</f>
        <v/>
      </c>
      <c r="AA45" s="14"/>
      <c r="AB45" s="14"/>
      <c r="AC45" s="14"/>
      <c r="AD45" s="14"/>
      <c r="AE45" s="14"/>
      <c r="AF45" s="23" t="str">
        <f aca="false">IF(OR(AD45="",AA45="",AB45="",AC45=""),"",AD45*AB45/1000*AC45/AA45)</f>
        <v/>
      </c>
      <c r="AG45" s="23" t="str">
        <f aca="false">IF(OR(AE45="",AA45="",AB45="",AC45=""),"",AE45*AB45/1000*AC45/AA45)</f>
        <v/>
      </c>
      <c r="AH45" s="23" t="str">
        <f aca="false">IF(OR(AF45="",AG45=""),"",(AG45/39.1)/(AF45/22.99))</f>
        <v/>
      </c>
    </row>
    <row r="46" customFormat="false" ht="15" hidden="false" customHeight="false" outlineLevel="0" collapsed="false">
      <c r="A46" s="13" t="s">
        <v>197</v>
      </c>
      <c r="B46" s="13" t="s">
        <v>194</v>
      </c>
      <c r="C46" s="13" t="s">
        <v>189</v>
      </c>
      <c r="D46" s="13" t="n">
        <v>50</v>
      </c>
      <c r="E46" s="13" t="n">
        <v>4</v>
      </c>
      <c r="F46" s="14"/>
      <c r="G46" s="14"/>
      <c r="H46" s="23" t="str">
        <f aca="false">IF(OR(F46="",G46=""),"",G46/F46)</f>
        <v/>
      </c>
      <c r="I46" s="14"/>
      <c r="J46" s="14"/>
      <c r="K46" s="14"/>
      <c r="L46" s="14"/>
      <c r="M46" s="23" t="str">
        <f aca="false">IF(OR(K46="",L46="",I46="",J46=""),"",((K46-L46)/155)*1000*J46/I46)</f>
        <v/>
      </c>
      <c r="N46" s="14"/>
      <c r="O46" s="14"/>
      <c r="P46" s="14"/>
      <c r="Q46" s="23" t="str">
        <f aca="false">IF(OR(ISNUMBER(Std_Curves!$B$13)=FALSE()),"",IF(OR(O46=""),"",(O46-Std_Curves!$B$14)/Std_Curves!$B$13))</f>
        <v/>
      </c>
      <c r="R46" s="23" t="str">
        <f aca="false">IF(OR(Q46="",P46="",N46=""),"",(Q46*P46/115.13)/(N46/5))</f>
        <v/>
      </c>
      <c r="S46" s="14"/>
      <c r="T46" s="14"/>
      <c r="U46" s="14"/>
      <c r="V46" s="14"/>
      <c r="W46" s="14"/>
      <c r="X46" s="23" t="str">
        <f aca="false">IF(OR(V46="",S46="",T46="",U46=""),"",V46*T46/1000*U46/S46)</f>
        <v/>
      </c>
      <c r="Y46" s="23" t="str">
        <f aca="false">IF(OR(W46="",S46="",T46="",U46=""),"",W46*T46/1000*U46/S46)</f>
        <v/>
      </c>
      <c r="Z46" s="23" t="str">
        <f aca="false">IF(OR(X46="",Y46=""),"",(Y46/39.1)/(X46/22.99))</f>
        <v/>
      </c>
      <c r="AA46" s="14"/>
      <c r="AB46" s="14"/>
      <c r="AC46" s="14"/>
      <c r="AD46" s="14"/>
      <c r="AE46" s="14"/>
      <c r="AF46" s="23" t="str">
        <f aca="false">IF(OR(AD46="",AA46="",AB46="",AC46=""),"",AD46*AB46/1000*AC46/AA46)</f>
        <v/>
      </c>
      <c r="AG46" s="23" t="str">
        <f aca="false">IF(OR(AE46="",AA46="",AB46="",AC46=""),"",AE46*AB46/1000*AC46/AA46)</f>
        <v/>
      </c>
      <c r="AH46" s="23" t="str">
        <f aca="false">IF(OR(AF46="",AG46=""),"",(AG46/39.1)/(AF46/22.99))</f>
        <v/>
      </c>
    </row>
    <row r="47" customFormat="false" ht="15" hidden="false" customHeight="false" outlineLevel="0" collapsed="false">
      <c r="A47" s="13" t="s">
        <v>198</v>
      </c>
      <c r="B47" s="13" t="s">
        <v>199</v>
      </c>
      <c r="C47" s="13" t="s">
        <v>189</v>
      </c>
      <c r="D47" s="13" t="n">
        <v>100</v>
      </c>
      <c r="E47" s="13" t="n">
        <v>1</v>
      </c>
      <c r="F47" s="14"/>
      <c r="G47" s="14"/>
      <c r="H47" s="23" t="str">
        <f aca="false">IF(OR(F47="",G47=""),"",G47/F47)</f>
        <v/>
      </c>
      <c r="I47" s="14"/>
      <c r="J47" s="14"/>
      <c r="K47" s="14"/>
      <c r="L47" s="14"/>
      <c r="M47" s="23" t="str">
        <f aca="false">IF(OR(K47="",L47="",I47="",J47=""),"",((K47-L47)/155)*1000*J47/I47)</f>
        <v/>
      </c>
      <c r="N47" s="14"/>
      <c r="O47" s="14"/>
      <c r="P47" s="14"/>
      <c r="Q47" s="23" t="str">
        <f aca="false">IF(OR(ISNUMBER(Std_Curves!$B$13)=FALSE()),"",IF(OR(O47=""),"",(O47-Std_Curves!$B$14)/Std_Curves!$B$13))</f>
        <v/>
      </c>
      <c r="R47" s="23" t="str">
        <f aca="false">IF(OR(Q47="",P47="",N47=""),"",(Q47*P47/115.13)/(N47/5))</f>
        <v/>
      </c>
      <c r="S47" s="14"/>
      <c r="T47" s="14"/>
      <c r="U47" s="14"/>
      <c r="V47" s="14"/>
      <c r="W47" s="14"/>
      <c r="X47" s="23" t="str">
        <f aca="false">IF(OR(V47="",S47="",T47="",U47=""),"",V47*T47/1000*U47/S47)</f>
        <v/>
      </c>
      <c r="Y47" s="23" t="str">
        <f aca="false">IF(OR(W47="",S47="",T47="",U47=""),"",W47*T47/1000*U47/S47)</f>
        <v/>
      </c>
      <c r="Z47" s="23" t="str">
        <f aca="false">IF(OR(X47="",Y47=""),"",(Y47/39.1)/(X47/22.99))</f>
        <v/>
      </c>
      <c r="AA47" s="14"/>
      <c r="AB47" s="14"/>
      <c r="AC47" s="14"/>
      <c r="AD47" s="14"/>
      <c r="AE47" s="14"/>
      <c r="AF47" s="23" t="str">
        <f aca="false">IF(OR(AD47="",AA47="",AB47="",AC47=""),"",AD47*AB47/1000*AC47/AA47)</f>
        <v/>
      </c>
      <c r="AG47" s="23" t="str">
        <f aca="false">IF(OR(AE47="",AA47="",AB47="",AC47=""),"",AE47*AB47/1000*AC47/AA47)</f>
        <v/>
      </c>
      <c r="AH47" s="23" t="str">
        <f aca="false">IF(OR(AF47="",AG47=""),"",(AG47/39.1)/(AF47/22.99))</f>
        <v/>
      </c>
    </row>
    <row r="48" customFormat="false" ht="15" hidden="false" customHeight="false" outlineLevel="0" collapsed="false">
      <c r="A48" s="13" t="s">
        <v>200</v>
      </c>
      <c r="B48" s="13" t="s">
        <v>199</v>
      </c>
      <c r="C48" s="13" t="s">
        <v>189</v>
      </c>
      <c r="D48" s="13" t="n">
        <v>100</v>
      </c>
      <c r="E48" s="13" t="n">
        <v>2</v>
      </c>
      <c r="F48" s="14"/>
      <c r="G48" s="14"/>
      <c r="H48" s="23" t="str">
        <f aca="false">IF(OR(F48="",G48=""),"",G48/F48)</f>
        <v/>
      </c>
      <c r="I48" s="14"/>
      <c r="J48" s="14"/>
      <c r="K48" s="14"/>
      <c r="L48" s="14"/>
      <c r="M48" s="23" t="str">
        <f aca="false">IF(OR(K48="",L48="",I48="",J48=""),"",((K48-L48)/155)*1000*J48/I48)</f>
        <v/>
      </c>
      <c r="N48" s="14"/>
      <c r="O48" s="14"/>
      <c r="P48" s="14"/>
      <c r="Q48" s="23" t="str">
        <f aca="false">IF(OR(ISNUMBER(Std_Curves!$B$13)=FALSE()),"",IF(OR(O48=""),"",(O48-Std_Curves!$B$14)/Std_Curves!$B$13))</f>
        <v/>
      </c>
      <c r="R48" s="23" t="str">
        <f aca="false">IF(OR(Q48="",P48="",N48=""),"",(Q48*P48/115.13)/(N48/5))</f>
        <v/>
      </c>
      <c r="S48" s="14"/>
      <c r="T48" s="14"/>
      <c r="U48" s="14"/>
      <c r="V48" s="14"/>
      <c r="W48" s="14"/>
      <c r="X48" s="23" t="str">
        <f aca="false">IF(OR(V48="",S48="",T48="",U48=""),"",V48*T48/1000*U48/S48)</f>
        <v/>
      </c>
      <c r="Y48" s="23" t="str">
        <f aca="false">IF(OR(W48="",S48="",T48="",U48=""),"",W48*T48/1000*U48/S48)</f>
        <v/>
      </c>
      <c r="Z48" s="23" t="str">
        <f aca="false">IF(OR(X48="",Y48=""),"",(Y48/39.1)/(X48/22.99))</f>
        <v/>
      </c>
      <c r="AA48" s="14"/>
      <c r="AB48" s="14"/>
      <c r="AC48" s="14"/>
      <c r="AD48" s="14"/>
      <c r="AE48" s="14"/>
      <c r="AF48" s="23" t="str">
        <f aca="false">IF(OR(AD48="",AA48="",AB48="",AC48=""),"",AD48*AB48/1000*AC48/AA48)</f>
        <v/>
      </c>
      <c r="AG48" s="23" t="str">
        <f aca="false">IF(OR(AE48="",AA48="",AB48="",AC48=""),"",AE48*AB48/1000*AC48/AA48)</f>
        <v/>
      </c>
      <c r="AH48" s="23" t="str">
        <f aca="false">IF(OR(AF48="",AG48=""),"",(AG48/39.1)/(AF48/22.99))</f>
        <v/>
      </c>
    </row>
    <row r="49" customFormat="false" ht="15" hidden="false" customHeight="false" outlineLevel="0" collapsed="false">
      <c r="A49" s="13" t="s">
        <v>201</v>
      </c>
      <c r="B49" s="13" t="s">
        <v>199</v>
      </c>
      <c r="C49" s="13" t="s">
        <v>189</v>
      </c>
      <c r="D49" s="13" t="n">
        <v>100</v>
      </c>
      <c r="E49" s="13" t="n">
        <v>3</v>
      </c>
      <c r="F49" s="14"/>
      <c r="G49" s="14"/>
      <c r="H49" s="23" t="str">
        <f aca="false">IF(OR(F49="",G49=""),"",G49/F49)</f>
        <v/>
      </c>
      <c r="I49" s="14"/>
      <c r="J49" s="14"/>
      <c r="K49" s="14"/>
      <c r="L49" s="14"/>
      <c r="M49" s="23" t="str">
        <f aca="false">IF(OR(K49="",L49="",I49="",J49=""),"",((K49-L49)/155)*1000*J49/I49)</f>
        <v/>
      </c>
      <c r="N49" s="14"/>
      <c r="O49" s="14"/>
      <c r="P49" s="14"/>
      <c r="Q49" s="23" t="str">
        <f aca="false">IF(OR(ISNUMBER(Std_Curves!$B$13)=FALSE()),"",IF(OR(O49=""),"",(O49-Std_Curves!$B$14)/Std_Curves!$B$13))</f>
        <v/>
      </c>
      <c r="R49" s="23" t="str">
        <f aca="false">IF(OR(Q49="",P49="",N49=""),"",(Q49*P49/115.13)/(N49/5))</f>
        <v/>
      </c>
      <c r="S49" s="14"/>
      <c r="T49" s="14"/>
      <c r="U49" s="14"/>
      <c r="V49" s="14"/>
      <c r="W49" s="14"/>
      <c r="X49" s="23" t="str">
        <f aca="false">IF(OR(V49="",S49="",T49="",U49=""),"",V49*T49/1000*U49/S49)</f>
        <v/>
      </c>
      <c r="Y49" s="23" t="str">
        <f aca="false">IF(OR(W49="",S49="",T49="",U49=""),"",W49*T49/1000*U49/S49)</f>
        <v/>
      </c>
      <c r="Z49" s="23" t="str">
        <f aca="false">IF(OR(X49="",Y49=""),"",(Y49/39.1)/(X49/22.99))</f>
        <v/>
      </c>
      <c r="AA49" s="14"/>
      <c r="AB49" s="14"/>
      <c r="AC49" s="14"/>
      <c r="AD49" s="14"/>
      <c r="AE49" s="14"/>
      <c r="AF49" s="23" t="str">
        <f aca="false">IF(OR(AD49="",AA49="",AB49="",AC49=""),"",AD49*AB49/1000*AC49/AA49)</f>
        <v/>
      </c>
      <c r="AG49" s="23" t="str">
        <f aca="false">IF(OR(AE49="",AA49="",AB49="",AC49=""),"",AE49*AB49/1000*AC49/AA49)</f>
        <v/>
      </c>
      <c r="AH49" s="23" t="str">
        <f aca="false">IF(OR(AF49="",AG49=""),"",(AG49/39.1)/(AF49/22.99))</f>
        <v/>
      </c>
    </row>
    <row r="50" customFormat="false" ht="15" hidden="false" customHeight="false" outlineLevel="0" collapsed="false">
      <c r="A50" s="13" t="s">
        <v>202</v>
      </c>
      <c r="B50" s="13" t="s">
        <v>199</v>
      </c>
      <c r="C50" s="13" t="s">
        <v>189</v>
      </c>
      <c r="D50" s="13" t="n">
        <v>100</v>
      </c>
      <c r="E50" s="13" t="n">
        <v>4</v>
      </c>
      <c r="F50" s="14"/>
      <c r="G50" s="14"/>
      <c r="H50" s="23" t="str">
        <f aca="false">IF(OR(F50="",G50=""),"",G50/F50)</f>
        <v/>
      </c>
      <c r="I50" s="14"/>
      <c r="J50" s="14"/>
      <c r="K50" s="14"/>
      <c r="L50" s="14"/>
      <c r="M50" s="23" t="str">
        <f aca="false">IF(OR(K50="",L50="",I50="",J50=""),"",((K50-L50)/155)*1000*J50/I50)</f>
        <v/>
      </c>
      <c r="N50" s="14"/>
      <c r="O50" s="14"/>
      <c r="P50" s="14"/>
      <c r="Q50" s="23" t="str">
        <f aca="false">IF(OR(ISNUMBER(Std_Curves!$B$13)=FALSE()),"",IF(OR(O50=""),"",(O50-Std_Curves!$B$14)/Std_Curves!$B$13))</f>
        <v/>
      </c>
      <c r="R50" s="23" t="str">
        <f aca="false">IF(OR(Q50="",P50="",N50=""),"",(Q50*P50/115.13)/(N50/5))</f>
        <v/>
      </c>
      <c r="S50" s="14"/>
      <c r="T50" s="14"/>
      <c r="U50" s="14"/>
      <c r="V50" s="14"/>
      <c r="W50" s="14"/>
      <c r="X50" s="23" t="str">
        <f aca="false">IF(OR(V50="",S50="",T50="",U50=""),"",V50*T50/1000*U50/S50)</f>
        <v/>
      </c>
      <c r="Y50" s="23" t="str">
        <f aca="false">IF(OR(W50="",S50="",T50="",U50=""),"",W50*T50/1000*U50/S50)</f>
        <v/>
      </c>
      <c r="Z50" s="23" t="str">
        <f aca="false">IF(OR(X50="",Y50=""),"",(Y50/39.1)/(X50/22.99))</f>
        <v/>
      </c>
      <c r="AA50" s="14"/>
      <c r="AB50" s="14"/>
      <c r="AC50" s="14"/>
      <c r="AD50" s="14"/>
      <c r="AE50" s="14"/>
      <c r="AF50" s="23" t="str">
        <f aca="false">IF(OR(AD50="",AA50="",AB50="",AC50=""),"",AD50*AB50/1000*AC50/AA50)</f>
        <v/>
      </c>
      <c r="AG50" s="23" t="str">
        <f aca="false">IF(OR(AE50="",AA50="",AB50="",AC50=""),"",AE50*AB50/1000*AC50/AA50)</f>
        <v/>
      </c>
      <c r="AH50" s="23" t="str">
        <f aca="false">IF(OR(AF50="",AG50=""),"",(AG50/39.1)/(AF50/22.99))</f>
        <v/>
      </c>
    </row>
    <row r="51" customFormat="false" ht="15" hidden="false" customHeight="false" outlineLevel="0" collapsed="false">
      <c r="A51" s="13" t="s">
        <v>203</v>
      </c>
      <c r="B51" s="13" t="s">
        <v>204</v>
      </c>
      <c r="C51" s="13" t="s">
        <v>189</v>
      </c>
      <c r="D51" s="13" t="n">
        <v>150</v>
      </c>
      <c r="E51" s="13" t="n">
        <v>1</v>
      </c>
      <c r="F51" s="14"/>
      <c r="G51" s="14"/>
      <c r="H51" s="23" t="str">
        <f aca="false">IF(OR(F51="",G51=""),"",G51/F51)</f>
        <v/>
      </c>
      <c r="I51" s="14"/>
      <c r="J51" s="14"/>
      <c r="K51" s="14"/>
      <c r="L51" s="14"/>
      <c r="M51" s="23" t="str">
        <f aca="false">IF(OR(K51="",L51="",I51="",J51=""),"",((K51-L51)/155)*1000*J51/I51)</f>
        <v/>
      </c>
      <c r="N51" s="14"/>
      <c r="O51" s="14"/>
      <c r="P51" s="14"/>
      <c r="Q51" s="23" t="str">
        <f aca="false">IF(OR(ISNUMBER(Std_Curves!$B$13)=FALSE()),"",IF(OR(O51=""),"",(O51-Std_Curves!$B$14)/Std_Curves!$B$13))</f>
        <v/>
      </c>
      <c r="R51" s="23" t="str">
        <f aca="false">IF(OR(Q51="",P51="",N51=""),"",(Q51*P51/115.13)/(N51/5))</f>
        <v/>
      </c>
      <c r="S51" s="14"/>
      <c r="T51" s="14"/>
      <c r="U51" s="14"/>
      <c r="V51" s="14"/>
      <c r="W51" s="14"/>
      <c r="X51" s="23" t="str">
        <f aca="false">IF(OR(V51="",S51="",T51="",U51=""),"",V51*T51/1000*U51/S51)</f>
        <v/>
      </c>
      <c r="Y51" s="23" t="str">
        <f aca="false">IF(OR(W51="",S51="",T51="",U51=""),"",W51*T51/1000*U51/S51)</f>
        <v/>
      </c>
      <c r="Z51" s="23" t="str">
        <f aca="false">IF(OR(X51="",Y51=""),"",(Y51/39.1)/(X51/22.99))</f>
        <v/>
      </c>
      <c r="AA51" s="14"/>
      <c r="AB51" s="14"/>
      <c r="AC51" s="14"/>
      <c r="AD51" s="14"/>
      <c r="AE51" s="14"/>
      <c r="AF51" s="23" t="str">
        <f aca="false">IF(OR(AD51="",AA51="",AB51="",AC51=""),"",AD51*AB51/1000*AC51/AA51)</f>
        <v/>
      </c>
      <c r="AG51" s="23" t="str">
        <f aca="false">IF(OR(AE51="",AA51="",AB51="",AC51=""),"",AE51*AB51/1000*AC51/AA51)</f>
        <v/>
      </c>
      <c r="AH51" s="23" t="str">
        <f aca="false">IF(OR(AF51="",AG51=""),"",(AG51/39.1)/(AF51/22.99))</f>
        <v/>
      </c>
    </row>
    <row r="52" customFormat="false" ht="15" hidden="false" customHeight="false" outlineLevel="0" collapsed="false">
      <c r="A52" s="13" t="s">
        <v>205</v>
      </c>
      <c r="B52" s="13" t="s">
        <v>204</v>
      </c>
      <c r="C52" s="13" t="s">
        <v>189</v>
      </c>
      <c r="D52" s="13" t="n">
        <v>150</v>
      </c>
      <c r="E52" s="13" t="n">
        <v>2</v>
      </c>
      <c r="F52" s="14"/>
      <c r="G52" s="14"/>
      <c r="H52" s="23" t="str">
        <f aca="false">IF(OR(F52="",G52=""),"",G52/F52)</f>
        <v/>
      </c>
      <c r="I52" s="14"/>
      <c r="J52" s="14"/>
      <c r="K52" s="14"/>
      <c r="L52" s="14"/>
      <c r="M52" s="23" t="str">
        <f aca="false">IF(OR(K52="",L52="",I52="",J52=""),"",((K52-L52)/155)*1000*J52/I52)</f>
        <v/>
      </c>
      <c r="N52" s="14"/>
      <c r="O52" s="14"/>
      <c r="P52" s="14"/>
      <c r="Q52" s="23" t="str">
        <f aca="false">IF(OR(ISNUMBER(Std_Curves!$B$13)=FALSE()),"",IF(OR(O52=""),"",(O52-Std_Curves!$B$14)/Std_Curves!$B$13))</f>
        <v/>
      </c>
      <c r="R52" s="23" t="str">
        <f aca="false">IF(OR(Q52="",P52="",N52=""),"",(Q52*P52/115.13)/(N52/5))</f>
        <v/>
      </c>
      <c r="S52" s="14"/>
      <c r="T52" s="14"/>
      <c r="U52" s="14"/>
      <c r="V52" s="14"/>
      <c r="W52" s="14"/>
      <c r="X52" s="23" t="str">
        <f aca="false">IF(OR(V52="",S52="",T52="",U52=""),"",V52*T52/1000*U52/S52)</f>
        <v/>
      </c>
      <c r="Y52" s="23" t="str">
        <f aca="false">IF(OR(W52="",S52="",T52="",U52=""),"",W52*T52/1000*U52/S52)</f>
        <v/>
      </c>
      <c r="Z52" s="23" t="str">
        <f aca="false">IF(OR(X52="",Y52=""),"",(Y52/39.1)/(X52/22.99))</f>
        <v/>
      </c>
      <c r="AA52" s="14"/>
      <c r="AB52" s="14"/>
      <c r="AC52" s="14"/>
      <c r="AD52" s="14"/>
      <c r="AE52" s="14"/>
      <c r="AF52" s="23" t="str">
        <f aca="false">IF(OR(AD52="",AA52="",AB52="",AC52=""),"",AD52*AB52/1000*AC52/AA52)</f>
        <v/>
      </c>
      <c r="AG52" s="23" t="str">
        <f aca="false">IF(OR(AE52="",AA52="",AB52="",AC52=""),"",AE52*AB52/1000*AC52/AA52)</f>
        <v/>
      </c>
      <c r="AH52" s="23" t="str">
        <f aca="false">IF(OR(AF52="",AG52=""),"",(AG52/39.1)/(AF52/22.99))</f>
        <v/>
      </c>
    </row>
    <row r="53" customFormat="false" ht="15" hidden="false" customHeight="false" outlineLevel="0" collapsed="false">
      <c r="A53" s="13" t="s">
        <v>206</v>
      </c>
      <c r="B53" s="13" t="s">
        <v>204</v>
      </c>
      <c r="C53" s="13" t="s">
        <v>189</v>
      </c>
      <c r="D53" s="13" t="n">
        <v>150</v>
      </c>
      <c r="E53" s="13" t="n">
        <v>3</v>
      </c>
      <c r="F53" s="14"/>
      <c r="G53" s="14"/>
      <c r="H53" s="23" t="str">
        <f aca="false">IF(OR(F53="",G53=""),"",G53/F53)</f>
        <v/>
      </c>
      <c r="I53" s="14"/>
      <c r="J53" s="14"/>
      <c r="K53" s="14"/>
      <c r="L53" s="14"/>
      <c r="M53" s="23" t="str">
        <f aca="false">IF(OR(K53="",L53="",I53="",J53=""),"",((K53-L53)/155)*1000*J53/I53)</f>
        <v/>
      </c>
      <c r="N53" s="14"/>
      <c r="O53" s="14"/>
      <c r="P53" s="14"/>
      <c r="Q53" s="23" t="str">
        <f aca="false">IF(OR(ISNUMBER(Std_Curves!$B$13)=FALSE()),"",IF(OR(O53=""),"",(O53-Std_Curves!$B$14)/Std_Curves!$B$13))</f>
        <v/>
      </c>
      <c r="R53" s="23" t="str">
        <f aca="false">IF(OR(Q53="",P53="",N53=""),"",(Q53*P53/115.13)/(N53/5))</f>
        <v/>
      </c>
      <c r="S53" s="14"/>
      <c r="T53" s="14"/>
      <c r="U53" s="14"/>
      <c r="V53" s="14"/>
      <c r="W53" s="14"/>
      <c r="X53" s="23" t="str">
        <f aca="false">IF(OR(V53="",S53="",T53="",U53=""),"",V53*T53/1000*U53/S53)</f>
        <v/>
      </c>
      <c r="Y53" s="23" t="str">
        <f aca="false">IF(OR(W53="",S53="",T53="",U53=""),"",W53*T53/1000*U53/S53)</f>
        <v/>
      </c>
      <c r="Z53" s="23" t="str">
        <f aca="false">IF(OR(X53="",Y53=""),"",(Y53/39.1)/(X53/22.99))</f>
        <v/>
      </c>
      <c r="AA53" s="14"/>
      <c r="AB53" s="14"/>
      <c r="AC53" s="14"/>
      <c r="AD53" s="14"/>
      <c r="AE53" s="14"/>
      <c r="AF53" s="23" t="str">
        <f aca="false">IF(OR(AD53="",AA53="",AB53="",AC53=""),"",AD53*AB53/1000*AC53/AA53)</f>
        <v/>
      </c>
      <c r="AG53" s="23" t="str">
        <f aca="false">IF(OR(AE53="",AA53="",AB53="",AC53=""),"",AE53*AB53/1000*AC53/AA53)</f>
        <v/>
      </c>
      <c r="AH53" s="23" t="str">
        <f aca="false">IF(OR(AF53="",AG53=""),"",(AG53/39.1)/(AF53/22.99))</f>
        <v/>
      </c>
    </row>
    <row r="54" customFormat="false" ht="15" hidden="false" customHeight="false" outlineLevel="0" collapsed="false">
      <c r="A54" s="13" t="s">
        <v>207</v>
      </c>
      <c r="B54" s="13" t="s">
        <v>204</v>
      </c>
      <c r="C54" s="13" t="s">
        <v>189</v>
      </c>
      <c r="D54" s="13" t="n">
        <v>150</v>
      </c>
      <c r="E54" s="13" t="n">
        <v>4</v>
      </c>
      <c r="F54" s="14"/>
      <c r="G54" s="14"/>
      <c r="H54" s="23" t="str">
        <f aca="false">IF(OR(F54="",G54=""),"",G54/F54)</f>
        <v/>
      </c>
      <c r="I54" s="14"/>
      <c r="J54" s="14"/>
      <c r="K54" s="14"/>
      <c r="L54" s="14"/>
      <c r="M54" s="23" t="str">
        <f aca="false">IF(OR(K54="",L54="",I54="",J54=""),"",((K54-L54)/155)*1000*J54/I54)</f>
        <v/>
      </c>
      <c r="N54" s="14"/>
      <c r="O54" s="14"/>
      <c r="P54" s="14"/>
      <c r="Q54" s="23" t="str">
        <f aca="false">IF(OR(ISNUMBER(Std_Curves!$B$13)=FALSE()),"",IF(OR(O54=""),"",(O54-Std_Curves!$B$14)/Std_Curves!$B$13))</f>
        <v/>
      </c>
      <c r="R54" s="23" t="str">
        <f aca="false">IF(OR(Q54="",P54="",N54=""),"",(Q54*P54/115.13)/(N54/5))</f>
        <v/>
      </c>
      <c r="S54" s="14"/>
      <c r="T54" s="14"/>
      <c r="U54" s="14"/>
      <c r="V54" s="14"/>
      <c r="W54" s="14"/>
      <c r="X54" s="23" t="str">
        <f aca="false">IF(OR(V54="",S54="",T54="",U54=""),"",V54*T54/1000*U54/S54)</f>
        <v/>
      </c>
      <c r="Y54" s="23" t="str">
        <f aca="false">IF(OR(W54="",S54="",T54="",U54=""),"",W54*T54/1000*U54/S54)</f>
        <v/>
      </c>
      <c r="Z54" s="23" t="str">
        <f aca="false">IF(OR(X54="",Y54=""),"",(Y54/39.1)/(X54/22.99))</f>
        <v/>
      </c>
      <c r="AA54" s="14"/>
      <c r="AB54" s="14"/>
      <c r="AC54" s="14"/>
      <c r="AD54" s="14"/>
      <c r="AE54" s="14"/>
      <c r="AF54" s="23" t="str">
        <f aca="false">IF(OR(AD54="",AA54="",AB54="",AC54=""),"",AD54*AB54/1000*AC54/AA54)</f>
        <v/>
      </c>
      <c r="AG54" s="23" t="str">
        <f aca="false">IF(OR(AE54="",AA54="",AB54="",AC54=""),"",AE54*AB54/1000*AC54/AA54)</f>
        <v/>
      </c>
      <c r="AH54" s="23" t="str">
        <f aca="false">IF(OR(AF54="",AG54=""),"",(AG54/39.1)/(AF54/22.99))</f>
        <v/>
      </c>
    </row>
    <row r="55" customFormat="false" ht="15" hidden="false" customHeight="false" outlineLevel="0" collapsed="false">
      <c r="A55" s="13" t="s">
        <v>208</v>
      </c>
      <c r="B55" s="13" t="s">
        <v>209</v>
      </c>
      <c r="C55" s="13" t="s">
        <v>210</v>
      </c>
      <c r="D55" s="13" t="n">
        <v>0</v>
      </c>
      <c r="E55" s="13" t="n">
        <v>1</v>
      </c>
      <c r="F55" s="14"/>
      <c r="G55" s="14"/>
      <c r="H55" s="23" t="str">
        <f aca="false">IF(OR(F55="",G55=""),"",G55/F55)</f>
        <v/>
      </c>
      <c r="I55" s="14"/>
      <c r="J55" s="14"/>
      <c r="K55" s="14"/>
      <c r="L55" s="14"/>
      <c r="M55" s="23" t="str">
        <f aca="false">IF(OR(K55="",L55="",I55="",J55=""),"",((K55-L55)/155)*1000*J55/I55)</f>
        <v/>
      </c>
      <c r="N55" s="14"/>
      <c r="O55" s="14"/>
      <c r="P55" s="14"/>
      <c r="Q55" s="23" t="str">
        <f aca="false">IF(OR(ISNUMBER(Std_Curves!$B$13)=FALSE()),"",IF(OR(O55=""),"",(O55-Std_Curves!$B$14)/Std_Curves!$B$13))</f>
        <v/>
      </c>
      <c r="R55" s="23" t="str">
        <f aca="false">IF(OR(Q55="",P55="",N55=""),"",(Q55*P55/115.13)/(N55/5))</f>
        <v/>
      </c>
      <c r="S55" s="14"/>
      <c r="T55" s="14"/>
      <c r="U55" s="14"/>
      <c r="V55" s="14"/>
      <c r="W55" s="14"/>
      <c r="X55" s="23" t="str">
        <f aca="false">IF(OR(V55="",S55="",T55="",U55=""),"",V55*T55/1000*U55/S55)</f>
        <v/>
      </c>
      <c r="Y55" s="23" t="str">
        <f aca="false">IF(OR(W55="",S55="",T55="",U55=""),"",W55*T55/1000*U55/S55)</f>
        <v/>
      </c>
      <c r="Z55" s="23" t="str">
        <f aca="false">IF(OR(X55="",Y55=""),"",(Y55/39.1)/(X55/22.99))</f>
        <v/>
      </c>
      <c r="AA55" s="14"/>
      <c r="AB55" s="14"/>
      <c r="AC55" s="14"/>
      <c r="AD55" s="14"/>
      <c r="AE55" s="14"/>
      <c r="AF55" s="23" t="str">
        <f aca="false">IF(OR(AD55="",AA55="",AB55="",AC55=""),"",AD55*AB55/1000*AC55/AA55)</f>
        <v/>
      </c>
      <c r="AG55" s="23" t="str">
        <f aca="false">IF(OR(AE55="",AA55="",AB55="",AC55=""),"",AE55*AB55/1000*AC55/AA55)</f>
        <v/>
      </c>
      <c r="AH55" s="23" t="str">
        <f aca="false">IF(OR(AF55="",AG55=""),"",(AG55/39.1)/(AF55/22.99))</f>
        <v/>
      </c>
    </row>
    <row r="56" customFormat="false" ht="15" hidden="false" customHeight="false" outlineLevel="0" collapsed="false">
      <c r="A56" s="13" t="s">
        <v>211</v>
      </c>
      <c r="B56" s="13" t="s">
        <v>209</v>
      </c>
      <c r="C56" s="13" t="s">
        <v>210</v>
      </c>
      <c r="D56" s="13" t="n">
        <v>0</v>
      </c>
      <c r="E56" s="13" t="n">
        <v>2</v>
      </c>
      <c r="F56" s="14"/>
      <c r="G56" s="14"/>
      <c r="H56" s="23" t="str">
        <f aca="false">IF(OR(F56="",G56=""),"",G56/F56)</f>
        <v/>
      </c>
      <c r="I56" s="14"/>
      <c r="J56" s="14"/>
      <c r="K56" s="14"/>
      <c r="L56" s="14"/>
      <c r="M56" s="23" t="str">
        <f aca="false">IF(OR(K56="",L56="",I56="",J56=""),"",((K56-L56)/155)*1000*J56/I56)</f>
        <v/>
      </c>
      <c r="N56" s="14"/>
      <c r="O56" s="14"/>
      <c r="P56" s="14"/>
      <c r="Q56" s="23" t="str">
        <f aca="false">IF(OR(ISNUMBER(Std_Curves!$B$13)=FALSE()),"",IF(OR(O56=""),"",(O56-Std_Curves!$B$14)/Std_Curves!$B$13))</f>
        <v/>
      </c>
      <c r="R56" s="23" t="str">
        <f aca="false">IF(OR(Q56="",P56="",N56=""),"",(Q56*P56/115.13)/(N56/5))</f>
        <v/>
      </c>
      <c r="S56" s="14"/>
      <c r="T56" s="14"/>
      <c r="U56" s="14"/>
      <c r="V56" s="14"/>
      <c r="W56" s="14"/>
      <c r="X56" s="23" t="str">
        <f aca="false">IF(OR(V56="",S56="",T56="",U56=""),"",V56*T56/1000*U56/S56)</f>
        <v/>
      </c>
      <c r="Y56" s="23" t="str">
        <f aca="false">IF(OR(W56="",S56="",T56="",U56=""),"",W56*T56/1000*U56/S56)</f>
        <v/>
      </c>
      <c r="Z56" s="23" t="str">
        <f aca="false">IF(OR(X56="",Y56=""),"",(Y56/39.1)/(X56/22.99))</f>
        <v/>
      </c>
      <c r="AA56" s="14"/>
      <c r="AB56" s="14"/>
      <c r="AC56" s="14"/>
      <c r="AD56" s="14"/>
      <c r="AE56" s="14"/>
      <c r="AF56" s="23" t="str">
        <f aca="false">IF(OR(AD56="",AA56="",AB56="",AC56=""),"",AD56*AB56/1000*AC56/AA56)</f>
        <v/>
      </c>
      <c r="AG56" s="23" t="str">
        <f aca="false">IF(OR(AE56="",AA56="",AB56="",AC56=""),"",AE56*AB56/1000*AC56/AA56)</f>
        <v/>
      </c>
      <c r="AH56" s="23" t="str">
        <f aca="false">IF(OR(AF56="",AG56=""),"",(AG56/39.1)/(AF56/22.99))</f>
        <v/>
      </c>
    </row>
    <row r="57" customFormat="false" ht="15" hidden="false" customHeight="false" outlineLevel="0" collapsed="false">
      <c r="A57" s="13" t="s">
        <v>212</v>
      </c>
      <c r="B57" s="13" t="s">
        <v>209</v>
      </c>
      <c r="C57" s="13" t="s">
        <v>210</v>
      </c>
      <c r="D57" s="13" t="n">
        <v>0</v>
      </c>
      <c r="E57" s="13" t="n">
        <v>3</v>
      </c>
      <c r="F57" s="14"/>
      <c r="G57" s="14"/>
      <c r="H57" s="23" t="str">
        <f aca="false">IF(OR(F57="",G57=""),"",G57/F57)</f>
        <v/>
      </c>
      <c r="I57" s="14"/>
      <c r="J57" s="14"/>
      <c r="K57" s="14"/>
      <c r="L57" s="14"/>
      <c r="M57" s="23" t="str">
        <f aca="false">IF(OR(K57="",L57="",I57="",J57=""),"",((K57-L57)/155)*1000*J57/I57)</f>
        <v/>
      </c>
      <c r="N57" s="14"/>
      <c r="O57" s="14"/>
      <c r="P57" s="14"/>
      <c r="Q57" s="23" t="str">
        <f aca="false">IF(OR(ISNUMBER(Std_Curves!$B$13)=FALSE()),"",IF(OR(O57=""),"",(O57-Std_Curves!$B$14)/Std_Curves!$B$13))</f>
        <v/>
      </c>
      <c r="R57" s="23" t="str">
        <f aca="false">IF(OR(Q57="",P57="",N57=""),"",(Q57*P57/115.13)/(N57/5))</f>
        <v/>
      </c>
      <c r="S57" s="14"/>
      <c r="T57" s="14"/>
      <c r="U57" s="14"/>
      <c r="V57" s="14"/>
      <c r="W57" s="14"/>
      <c r="X57" s="23" t="str">
        <f aca="false">IF(OR(V57="",S57="",T57="",U57=""),"",V57*T57/1000*U57/S57)</f>
        <v/>
      </c>
      <c r="Y57" s="23" t="str">
        <f aca="false">IF(OR(W57="",S57="",T57="",U57=""),"",W57*T57/1000*U57/S57)</f>
        <v/>
      </c>
      <c r="Z57" s="23" t="str">
        <f aca="false">IF(OR(X57="",Y57=""),"",(Y57/39.1)/(X57/22.99))</f>
        <v/>
      </c>
      <c r="AA57" s="14"/>
      <c r="AB57" s="14"/>
      <c r="AC57" s="14"/>
      <c r="AD57" s="14"/>
      <c r="AE57" s="14"/>
      <c r="AF57" s="23" t="str">
        <f aca="false">IF(OR(AD57="",AA57="",AB57="",AC57=""),"",AD57*AB57/1000*AC57/AA57)</f>
        <v/>
      </c>
      <c r="AG57" s="23" t="str">
        <f aca="false">IF(OR(AE57="",AA57="",AB57="",AC57=""),"",AE57*AB57/1000*AC57/AA57)</f>
        <v/>
      </c>
      <c r="AH57" s="23" t="str">
        <f aca="false">IF(OR(AF57="",AG57=""),"",(AG57/39.1)/(AF57/22.99))</f>
        <v/>
      </c>
    </row>
    <row r="58" customFormat="false" ht="15" hidden="false" customHeight="false" outlineLevel="0" collapsed="false">
      <c r="A58" s="13" t="s">
        <v>213</v>
      </c>
      <c r="B58" s="13" t="s">
        <v>209</v>
      </c>
      <c r="C58" s="13" t="s">
        <v>210</v>
      </c>
      <c r="D58" s="13" t="n">
        <v>0</v>
      </c>
      <c r="E58" s="13" t="n">
        <v>4</v>
      </c>
      <c r="F58" s="14"/>
      <c r="G58" s="14"/>
      <c r="H58" s="23" t="str">
        <f aca="false">IF(OR(F58="",G58=""),"",G58/F58)</f>
        <v/>
      </c>
      <c r="I58" s="14"/>
      <c r="J58" s="14"/>
      <c r="K58" s="14"/>
      <c r="L58" s="14"/>
      <c r="M58" s="23" t="str">
        <f aca="false">IF(OR(K58="",L58="",I58="",J58=""),"",((K58-L58)/155)*1000*J58/I58)</f>
        <v/>
      </c>
      <c r="N58" s="14"/>
      <c r="O58" s="14"/>
      <c r="P58" s="14"/>
      <c r="Q58" s="23" t="str">
        <f aca="false">IF(OR(ISNUMBER(Std_Curves!$B$13)=FALSE()),"",IF(OR(O58=""),"",(O58-Std_Curves!$B$14)/Std_Curves!$B$13))</f>
        <v/>
      </c>
      <c r="R58" s="23" t="str">
        <f aca="false">IF(OR(Q58="",P58="",N58=""),"",(Q58*P58/115.13)/(N58/5))</f>
        <v/>
      </c>
      <c r="S58" s="14"/>
      <c r="T58" s="14"/>
      <c r="U58" s="14"/>
      <c r="V58" s="14"/>
      <c r="W58" s="14"/>
      <c r="X58" s="23" t="str">
        <f aca="false">IF(OR(V58="",S58="",T58="",U58=""),"",V58*T58/1000*U58/S58)</f>
        <v/>
      </c>
      <c r="Y58" s="23" t="str">
        <f aca="false">IF(OR(W58="",S58="",T58="",U58=""),"",W58*T58/1000*U58/S58)</f>
        <v/>
      </c>
      <c r="Z58" s="23" t="str">
        <f aca="false">IF(OR(X58="",Y58=""),"",(Y58/39.1)/(X58/22.99))</f>
        <v/>
      </c>
      <c r="AA58" s="14"/>
      <c r="AB58" s="14"/>
      <c r="AC58" s="14"/>
      <c r="AD58" s="14"/>
      <c r="AE58" s="14"/>
      <c r="AF58" s="23" t="str">
        <f aca="false">IF(OR(AD58="",AA58="",AB58="",AC58=""),"",AD58*AB58/1000*AC58/AA58)</f>
        <v/>
      </c>
      <c r="AG58" s="23" t="str">
        <f aca="false">IF(OR(AE58="",AA58="",AB58="",AC58=""),"",AE58*AB58/1000*AC58/AA58)</f>
        <v/>
      </c>
      <c r="AH58" s="23" t="str">
        <f aca="false">IF(OR(AF58="",AG58=""),"",(AG58/39.1)/(AF58/22.99))</f>
        <v/>
      </c>
    </row>
    <row r="59" customFormat="false" ht="15" hidden="false" customHeight="false" outlineLevel="0" collapsed="false">
      <c r="A59" s="13" t="s">
        <v>214</v>
      </c>
      <c r="B59" s="13" t="s">
        <v>215</v>
      </c>
      <c r="C59" s="13" t="s">
        <v>210</v>
      </c>
      <c r="D59" s="13" t="n">
        <v>50</v>
      </c>
      <c r="E59" s="13" t="n">
        <v>1</v>
      </c>
      <c r="F59" s="14"/>
      <c r="G59" s="14"/>
      <c r="H59" s="23" t="str">
        <f aca="false">IF(OR(F59="",G59=""),"",G59/F59)</f>
        <v/>
      </c>
      <c r="I59" s="14"/>
      <c r="J59" s="14"/>
      <c r="K59" s="14"/>
      <c r="L59" s="14"/>
      <c r="M59" s="23" t="str">
        <f aca="false">IF(OR(K59="",L59="",I59="",J59=""),"",((K59-L59)/155)*1000*J59/I59)</f>
        <v/>
      </c>
      <c r="N59" s="14"/>
      <c r="O59" s="14"/>
      <c r="P59" s="14"/>
      <c r="Q59" s="23" t="str">
        <f aca="false">IF(OR(ISNUMBER(Std_Curves!$B$13)=FALSE()),"",IF(OR(O59=""),"",(O59-Std_Curves!$B$14)/Std_Curves!$B$13))</f>
        <v/>
      </c>
      <c r="R59" s="23" t="str">
        <f aca="false">IF(OR(Q59="",P59="",N59=""),"",(Q59*P59/115.13)/(N59/5))</f>
        <v/>
      </c>
      <c r="S59" s="14"/>
      <c r="T59" s="14"/>
      <c r="U59" s="14"/>
      <c r="V59" s="14"/>
      <c r="W59" s="14"/>
      <c r="X59" s="23" t="str">
        <f aca="false">IF(OR(V59="",S59="",T59="",U59=""),"",V59*T59/1000*U59/S59)</f>
        <v/>
      </c>
      <c r="Y59" s="23" t="str">
        <f aca="false">IF(OR(W59="",S59="",T59="",U59=""),"",W59*T59/1000*U59/S59)</f>
        <v/>
      </c>
      <c r="Z59" s="23" t="str">
        <f aca="false">IF(OR(X59="",Y59=""),"",(Y59/39.1)/(X59/22.99))</f>
        <v/>
      </c>
      <c r="AA59" s="14"/>
      <c r="AB59" s="14"/>
      <c r="AC59" s="14"/>
      <c r="AD59" s="14"/>
      <c r="AE59" s="14"/>
      <c r="AF59" s="23" t="str">
        <f aca="false">IF(OR(AD59="",AA59="",AB59="",AC59=""),"",AD59*AB59/1000*AC59/AA59)</f>
        <v/>
      </c>
      <c r="AG59" s="23" t="str">
        <f aca="false">IF(OR(AE59="",AA59="",AB59="",AC59=""),"",AE59*AB59/1000*AC59/AA59)</f>
        <v/>
      </c>
      <c r="AH59" s="23" t="str">
        <f aca="false">IF(OR(AF59="",AG59=""),"",(AG59/39.1)/(AF59/22.99))</f>
        <v/>
      </c>
    </row>
    <row r="60" customFormat="false" ht="15" hidden="false" customHeight="false" outlineLevel="0" collapsed="false">
      <c r="A60" s="13" t="s">
        <v>216</v>
      </c>
      <c r="B60" s="13" t="s">
        <v>215</v>
      </c>
      <c r="C60" s="13" t="s">
        <v>210</v>
      </c>
      <c r="D60" s="13" t="n">
        <v>50</v>
      </c>
      <c r="E60" s="13" t="n">
        <v>2</v>
      </c>
      <c r="F60" s="14"/>
      <c r="G60" s="14"/>
      <c r="H60" s="23" t="str">
        <f aca="false">IF(OR(F60="",G60=""),"",G60/F60)</f>
        <v/>
      </c>
      <c r="I60" s="14"/>
      <c r="J60" s="14"/>
      <c r="K60" s="14"/>
      <c r="L60" s="14"/>
      <c r="M60" s="23" t="str">
        <f aca="false">IF(OR(K60="",L60="",I60="",J60=""),"",((K60-L60)/155)*1000*J60/I60)</f>
        <v/>
      </c>
      <c r="N60" s="14"/>
      <c r="O60" s="14"/>
      <c r="P60" s="14"/>
      <c r="Q60" s="23" t="str">
        <f aca="false">IF(OR(ISNUMBER(Std_Curves!$B$13)=FALSE()),"",IF(OR(O60=""),"",(O60-Std_Curves!$B$14)/Std_Curves!$B$13))</f>
        <v/>
      </c>
      <c r="R60" s="23" t="str">
        <f aca="false">IF(OR(Q60="",P60="",N60=""),"",(Q60*P60/115.13)/(N60/5))</f>
        <v/>
      </c>
      <c r="S60" s="14"/>
      <c r="T60" s="14"/>
      <c r="U60" s="14"/>
      <c r="V60" s="14"/>
      <c r="W60" s="14"/>
      <c r="X60" s="23" t="str">
        <f aca="false">IF(OR(V60="",S60="",T60="",U60=""),"",V60*T60/1000*U60/S60)</f>
        <v/>
      </c>
      <c r="Y60" s="23" t="str">
        <f aca="false">IF(OR(W60="",S60="",T60="",U60=""),"",W60*T60/1000*U60/S60)</f>
        <v/>
      </c>
      <c r="Z60" s="23" t="str">
        <f aca="false">IF(OR(X60="",Y60=""),"",(Y60/39.1)/(X60/22.99))</f>
        <v/>
      </c>
      <c r="AA60" s="14"/>
      <c r="AB60" s="14"/>
      <c r="AC60" s="14"/>
      <c r="AD60" s="14"/>
      <c r="AE60" s="14"/>
      <c r="AF60" s="23" t="str">
        <f aca="false">IF(OR(AD60="",AA60="",AB60="",AC60=""),"",AD60*AB60/1000*AC60/AA60)</f>
        <v/>
      </c>
      <c r="AG60" s="23" t="str">
        <f aca="false">IF(OR(AE60="",AA60="",AB60="",AC60=""),"",AE60*AB60/1000*AC60/AA60)</f>
        <v/>
      </c>
      <c r="AH60" s="23" t="str">
        <f aca="false">IF(OR(AF60="",AG60=""),"",(AG60/39.1)/(AF60/22.99))</f>
        <v/>
      </c>
    </row>
    <row r="61" customFormat="false" ht="15" hidden="false" customHeight="false" outlineLevel="0" collapsed="false">
      <c r="A61" s="13" t="s">
        <v>217</v>
      </c>
      <c r="B61" s="13" t="s">
        <v>215</v>
      </c>
      <c r="C61" s="13" t="s">
        <v>210</v>
      </c>
      <c r="D61" s="13" t="n">
        <v>50</v>
      </c>
      <c r="E61" s="13" t="n">
        <v>3</v>
      </c>
      <c r="F61" s="14"/>
      <c r="G61" s="14"/>
      <c r="H61" s="23" t="str">
        <f aca="false">IF(OR(F61="",G61=""),"",G61/F61)</f>
        <v/>
      </c>
      <c r="I61" s="14"/>
      <c r="J61" s="14"/>
      <c r="K61" s="14"/>
      <c r="L61" s="14"/>
      <c r="M61" s="23" t="str">
        <f aca="false">IF(OR(K61="",L61="",I61="",J61=""),"",((K61-L61)/155)*1000*J61/I61)</f>
        <v/>
      </c>
      <c r="N61" s="14"/>
      <c r="O61" s="14"/>
      <c r="P61" s="14"/>
      <c r="Q61" s="23" t="str">
        <f aca="false">IF(OR(ISNUMBER(Std_Curves!$B$13)=FALSE()),"",IF(OR(O61=""),"",(O61-Std_Curves!$B$14)/Std_Curves!$B$13))</f>
        <v/>
      </c>
      <c r="R61" s="23" t="str">
        <f aca="false">IF(OR(Q61="",P61="",N61=""),"",(Q61*P61/115.13)/(N61/5))</f>
        <v/>
      </c>
      <c r="S61" s="14"/>
      <c r="T61" s="14"/>
      <c r="U61" s="14"/>
      <c r="V61" s="14"/>
      <c r="W61" s="14"/>
      <c r="X61" s="23" t="str">
        <f aca="false">IF(OR(V61="",S61="",T61="",U61=""),"",V61*T61/1000*U61/S61)</f>
        <v/>
      </c>
      <c r="Y61" s="23" t="str">
        <f aca="false">IF(OR(W61="",S61="",T61="",U61=""),"",W61*T61/1000*U61/S61)</f>
        <v/>
      </c>
      <c r="Z61" s="23" t="str">
        <f aca="false">IF(OR(X61="",Y61=""),"",(Y61/39.1)/(X61/22.99))</f>
        <v/>
      </c>
      <c r="AA61" s="14"/>
      <c r="AB61" s="14"/>
      <c r="AC61" s="14"/>
      <c r="AD61" s="14"/>
      <c r="AE61" s="14"/>
      <c r="AF61" s="23" t="str">
        <f aca="false">IF(OR(AD61="",AA61="",AB61="",AC61=""),"",AD61*AB61/1000*AC61/AA61)</f>
        <v/>
      </c>
      <c r="AG61" s="23" t="str">
        <f aca="false">IF(OR(AE61="",AA61="",AB61="",AC61=""),"",AE61*AB61/1000*AC61/AA61)</f>
        <v/>
      </c>
      <c r="AH61" s="23" t="str">
        <f aca="false">IF(OR(AF61="",AG61=""),"",(AG61/39.1)/(AF61/22.99))</f>
        <v/>
      </c>
    </row>
    <row r="62" customFormat="false" ht="15" hidden="false" customHeight="false" outlineLevel="0" collapsed="false">
      <c r="A62" s="13" t="s">
        <v>218</v>
      </c>
      <c r="B62" s="13" t="s">
        <v>215</v>
      </c>
      <c r="C62" s="13" t="s">
        <v>210</v>
      </c>
      <c r="D62" s="13" t="n">
        <v>50</v>
      </c>
      <c r="E62" s="13" t="n">
        <v>4</v>
      </c>
      <c r="F62" s="14"/>
      <c r="G62" s="14"/>
      <c r="H62" s="23" t="str">
        <f aca="false">IF(OR(F62="",G62=""),"",G62/F62)</f>
        <v/>
      </c>
      <c r="I62" s="14"/>
      <c r="J62" s="14"/>
      <c r="K62" s="14"/>
      <c r="L62" s="14"/>
      <c r="M62" s="23" t="str">
        <f aca="false">IF(OR(K62="",L62="",I62="",J62=""),"",((K62-L62)/155)*1000*J62/I62)</f>
        <v/>
      </c>
      <c r="N62" s="14"/>
      <c r="O62" s="14"/>
      <c r="P62" s="14"/>
      <c r="Q62" s="23" t="str">
        <f aca="false">IF(OR(ISNUMBER(Std_Curves!$B$13)=FALSE()),"",IF(OR(O62=""),"",(O62-Std_Curves!$B$14)/Std_Curves!$B$13))</f>
        <v/>
      </c>
      <c r="R62" s="23" t="str">
        <f aca="false">IF(OR(Q62="",P62="",N62=""),"",(Q62*P62/115.13)/(N62/5))</f>
        <v/>
      </c>
      <c r="S62" s="14"/>
      <c r="T62" s="14"/>
      <c r="U62" s="14"/>
      <c r="V62" s="14"/>
      <c r="W62" s="14"/>
      <c r="X62" s="23" t="str">
        <f aca="false">IF(OR(V62="",S62="",T62="",U62=""),"",V62*T62/1000*U62/S62)</f>
        <v/>
      </c>
      <c r="Y62" s="23" t="str">
        <f aca="false">IF(OR(W62="",S62="",T62="",U62=""),"",W62*T62/1000*U62/S62)</f>
        <v/>
      </c>
      <c r="Z62" s="23" t="str">
        <f aca="false">IF(OR(X62="",Y62=""),"",(Y62/39.1)/(X62/22.99))</f>
        <v/>
      </c>
      <c r="AA62" s="14"/>
      <c r="AB62" s="14"/>
      <c r="AC62" s="14"/>
      <c r="AD62" s="14"/>
      <c r="AE62" s="14"/>
      <c r="AF62" s="23" t="str">
        <f aca="false">IF(OR(AD62="",AA62="",AB62="",AC62=""),"",AD62*AB62/1000*AC62/AA62)</f>
        <v/>
      </c>
      <c r="AG62" s="23" t="str">
        <f aca="false">IF(OR(AE62="",AA62="",AB62="",AC62=""),"",AE62*AB62/1000*AC62/AA62)</f>
        <v/>
      </c>
      <c r="AH62" s="23" t="str">
        <f aca="false">IF(OR(AF62="",AG62=""),"",(AG62/39.1)/(AF62/22.99))</f>
        <v/>
      </c>
    </row>
    <row r="63" customFormat="false" ht="15" hidden="false" customHeight="false" outlineLevel="0" collapsed="false">
      <c r="A63" s="13" t="s">
        <v>219</v>
      </c>
      <c r="B63" s="13" t="s">
        <v>220</v>
      </c>
      <c r="C63" s="13" t="s">
        <v>210</v>
      </c>
      <c r="D63" s="13" t="n">
        <v>100</v>
      </c>
      <c r="E63" s="13" t="n">
        <v>1</v>
      </c>
      <c r="F63" s="14"/>
      <c r="G63" s="14"/>
      <c r="H63" s="23" t="str">
        <f aca="false">IF(OR(F63="",G63=""),"",G63/F63)</f>
        <v/>
      </c>
      <c r="I63" s="14"/>
      <c r="J63" s="14"/>
      <c r="K63" s="14"/>
      <c r="L63" s="14"/>
      <c r="M63" s="23" t="str">
        <f aca="false">IF(OR(K63="",L63="",I63="",J63=""),"",((K63-L63)/155)*1000*J63/I63)</f>
        <v/>
      </c>
      <c r="N63" s="14"/>
      <c r="O63" s="14"/>
      <c r="P63" s="14"/>
      <c r="Q63" s="23" t="str">
        <f aca="false">IF(OR(ISNUMBER(Std_Curves!$B$13)=FALSE()),"",IF(OR(O63=""),"",(O63-Std_Curves!$B$14)/Std_Curves!$B$13))</f>
        <v/>
      </c>
      <c r="R63" s="23" t="str">
        <f aca="false">IF(OR(Q63="",P63="",N63=""),"",(Q63*P63/115.13)/(N63/5))</f>
        <v/>
      </c>
      <c r="S63" s="14"/>
      <c r="T63" s="14"/>
      <c r="U63" s="14"/>
      <c r="V63" s="14"/>
      <c r="W63" s="14"/>
      <c r="X63" s="23" t="str">
        <f aca="false">IF(OR(V63="",S63="",T63="",U63=""),"",V63*T63/1000*U63/S63)</f>
        <v/>
      </c>
      <c r="Y63" s="23" t="str">
        <f aca="false">IF(OR(W63="",S63="",T63="",U63=""),"",W63*T63/1000*U63/S63)</f>
        <v/>
      </c>
      <c r="Z63" s="23" t="str">
        <f aca="false">IF(OR(X63="",Y63=""),"",(Y63/39.1)/(X63/22.99))</f>
        <v/>
      </c>
      <c r="AA63" s="14"/>
      <c r="AB63" s="14"/>
      <c r="AC63" s="14"/>
      <c r="AD63" s="14"/>
      <c r="AE63" s="14"/>
      <c r="AF63" s="23" t="str">
        <f aca="false">IF(OR(AD63="",AA63="",AB63="",AC63=""),"",AD63*AB63/1000*AC63/AA63)</f>
        <v/>
      </c>
      <c r="AG63" s="23" t="str">
        <f aca="false">IF(OR(AE63="",AA63="",AB63="",AC63=""),"",AE63*AB63/1000*AC63/AA63)</f>
        <v/>
      </c>
      <c r="AH63" s="23" t="str">
        <f aca="false">IF(OR(AF63="",AG63=""),"",(AG63/39.1)/(AF63/22.99))</f>
        <v/>
      </c>
    </row>
    <row r="64" customFormat="false" ht="15" hidden="false" customHeight="false" outlineLevel="0" collapsed="false">
      <c r="A64" s="13" t="s">
        <v>221</v>
      </c>
      <c r="B64" s="13" t="s">
        <v>220</v>
      </c>
      <c r="C64" s="13" t="s">
        <v>210</v>
      </c>
      <c r="D64" s="13" t="n">
        <v>100</v>
      </c>
      <c r="E64" s="13" t="n">
        <v>2</v>
      </c>
      <c r="F64" s="14"/>
      <c r="G64" s="14"/>
      <c r="H64" s="23" t="str">
        <f aca="false">IF(OR(F64="",G64=""),"",G64/F64)</f>
        <v/>
      </c>
      <c r="I64" s="14"/>
      <c r="J64" s="14"/>
      <c r="K64" s="14"/>
      <c r="L64" s="14"/>
      <c r="M64" s="23" t="str">
        <f aca="false">IF(OR(K64="",L64="",I64="",J64=""),"",((K64-L64)/155)*1000*J64/I64)</f>
        <v/>
      </c>
      <c r="N64" s="14"/>
      <c r="O64" s="14"/>
      <c r="P64" s="14"/>
      <c r="Q64" s="23" t="str">
        <f aca="false">IF(OR(ISNUMBER(Std_Curves!$B$13)=FALSE()),"",IF(OR(O64=""),"",(O64-Std_Curves!$B$14)/Std_Curves!$B$13))</f>
        <v/>
      </c>
      <c r="R64" s="23" t="str">
        <f aca="false">IF(OR(Q64="",P64="",N64=""),"",(Q64*P64/115.13)/(N64/5))</f>
        <v/>
      </c>
      <c r="S64" s="14"/>
      <c r="T64" s="14"/>
      <c r="U64" s="14"/>
      <c r="V64" s="14"/>
      <c r="W64" s="14"/>
      <c r="X64" s="23" t="str">
        <f aca="false">IF(OR(V64="",S64="",T64="",U64=""),"",V64*T64/1000*U64/S64)</f>
        <v/>
      </c>
      <c r="Y64" s="23" t="str">
        <f aca="false">IF(OR(W64="",S64="",T64="",U64=""),"",W64*T64/1000*U64/S64)</f>
        <v/>
      </c>
      <c r="Z64" s="23" t="str">
        <f aca="false">IF(OR(X64="",Y64=""),"",(Y64/39.1)/(X64/22.99))</f>
        <v/>
      </c>
      <c r="AA64" s="14"/>
      <c r="AB64" s="14"/>
      <c r="AC64" s="14"/>
      <c r="AD64" s="14"/>
      <c r="AE64" s="14"/>
      <c r="AF64" s="23" t="str">
        <f aca="false">IF(OR(AD64="",AA64="",AB64="",AC64=""),"",AD64*AB64/1000*AC64/AA64)</f>
        <v/>
      </c>
      <c r="AG64" s="23" t="str">
        <f aca="false">IF(OR(AE64="",AA64="",AB64="",AC64=""),"",AE64*AB64/1000*AC64/AA64)</f>
        <v/>
      </c>
      <c r="AH64" s="23" t="str">
        <f aca="false">IF(OR(AF64="",AG64=""),"",(AG64/39.1)/(AF64/22.99))</f>
        <v/>
      </c>
    </row>
    <row r="65" customFormat="false" ht="15" hidden="false" customHeight="false" outlineLevel="0" collapsed="false">
      <c r="A65" s="13" t="s">
        <v>222</v>
      </c>
      <c r="B65" s="13" t="s">
        <v>220</v>
      </c>
      <c r="C65" s="13" t="s">
        <v>210</v>
      </c>
      <c r="D65" s="13" t="n">
        <v>100</v>
      </c>
      <c r="E65" s="13" t="n">
        <v>3</v>
      </c>
      <c r="F65" s="14"/>
      <c r="G65" s="14"/>
      <c r="H65" s="23" t="str">
        <f aca="false">IF(OR(F65="",G65=""),"",G65/F65)</f>
        <v/>
      </c>
      <c r="I65" s="14"/>
      <c r="J65" s="14"/>
      <c r="K65" s="14"/>
      <c r="L65" s="14"/>
      <c r="M65" s="23" t="str">
        <f aca="false">IF(OR(K65="",L65="",I65="",J65=""),"",((K65-L65)/155)*1000*J65/I65)</f>
        <v/>
      </c>
      <c r="N65" s="14"/>
      <c r="O65" s="14"/>
      <c r="P65" s="14"/>
      <c r="Q65" s="23" t="str">
        <f aca="false">IF(OR(ISNUMBER(Std_Curves!$B$13)=FALSE()),"",IF(OR(O65=""),"",(O65-Std_Curves!$B$14)/Std_Curves!$B$13))</f>
        <v/>
      </c>
      <c r="R65" s="23" t="str">
        <f aca="false">IF(OR(Q65="",P65="",N65=""),"",(Q65*P65/115.13)/(N65/5))</f>
        <v/>
      </c>
      <c r="S65" s="14"/>
      <c r="T65" s="14"/>
      <c r="U65" s="14"/>
      <c r="V65" s="14"/>
      <c r="W65" s="14"/>
      <c r="X65" s="23" t="str">
        <f aca="false">IF(OR(V65="",S65="",T65="",U65=""),"",V65*T65/1000*U65/S65)</f>
        <v/>
      </c>
      <c r="Y65" s="23" t="str">
        <f aca="false">IF(OR(W65="",S65="",T65="",U65=""),"",W65*T65/1000*U65/S65)</f>
        <v/>
      </c>
      <c r="Z65" s="23" t="str">
        <f aca="false">IF(OR(X65="",Y65=""),"",(Y65/39.1)/(X65/22.99))</f>
        <v/>
      </c>
      <c r="AA65" s="14"/>
      <c r="AB65" s="14"/>
      <c r="AC65" s="14"/>
      <c r="AD65" s="14"/>
      <c r="AE65" s="14"/>
      <c r="AF65" s="23" t="str">
        <f aca="false">IF(OR(AD65="",AA65="",AB65="",AC65=""),"",AD65*AB65/1000*AC65/AA65)</f>
        <v/>
      </c>
      <c r="AG65" s="23" t="str">
        <f aca="false">IF(OR(AE65="",AA65="",AB65="",AC65=""),"",AE65*AB65/1000*AC65/AA65)</f>
        <v/>
      </c>
      <c r="AH65" s="23" t="str">
        <f aca="false">IF(OR(AF65="",AG65=""),"",(AG65/39.1)/(AF65/22.99))</f>
        <v/>
      </c>
    </row>
    <row r="66" customFormat="false" ht="15" hidden="false" customHeight="false" outlineLevel="0" collapsed="false">
      <c r="A66" s="13" t="s">
        <v>223</v>
      </c>
      <c r="B66" s="13" t="s">
        <v>220</v>
      </c>
      <c r="C66" s="13" t="s">
        <v>210</v>
      </c>
      <c r="D66" s="13" t="n">
        <v>100</v>
      </c>
      <c r="E66" s="13" t="n">
        <v>4</v>
      </c>
      <c r="F66" s="14"/>
      <c r="G66" s="14"/>
      <c r="H66" s="23" t="str">
        <f aca="false">IF(OR(F66="",G66=""),"",G66/F66)</f>
        <v/>
      </c>
      <c r="I66" s="14"/>
      <c r="J66" s="14"/>
      <c r="K66" s="14"/>
      <c r="L66" s="14"/>
      <c r="M66" s="23" t="str">
        <f aca="false">IF(OR(K66="",L66="",I66="",J66=""),"",((K66-L66)/155)*1000*J66/I66)</f>
        <v/>
      </c>
      <c r="N66" s="14"/>
      <c r="O66" s="14"/>
      <c r="P66" s="14"/>
      <c r="Q66" s="23" t="str">
        <f aca="false">IF(OR(ISNUMBER(Std_Curves!$B$13)=FALSE()),"",IF(OR(O66=""),"",(O66-Std_Curves!$B$14)/Std_Curves!$B$13))</f>
        <v/>
      </c>
      <c r="R66" s="23" t="str">
        <f aca="false">IF(OR(Q66="",P66="",N66=""),"",(Q66*P66/115.13)/(N66/5))</f>
        <v/>
      </c>
      <c r="S66" s="14"/>
      <c r="T66" s="14"/>
      <c r="U66" s="14"/>
      <c r="V66" s="14"/>
      <c r="W66" s="14"/>
      <c r="X66" s="23" t="str">
        <f aca="false">IF(OR(V66="",S66="",T66="",U66=""),"",V66*T66/1000*U66/S66)</f>
        <v/>
      </c>
      <c r="Y66" s="23" t="str">
        <f aca="false">IF(OR(W66="",S66="",T66="",U66=""),"",W66*T66/1000*U66/S66)</f>
        <v/>
      </c>
      <c r="Z66" s="23" t="str">
        <f aca="false">IF(OR(X66="",Y66=""),"",(Y66/39.1)/(X66/22.99))</f>
        <v/>
      </c>
      <c r="AA66" s="14"/>
      <c r="AB66" s="14"/>
      <c r="AC66" s="14"/>
      <c r="AD66" s="14"/>
      <c r="AE66" s="14"/>
      <c r="AF66" s="23" t="str">
        <f aca="false">IF(OR(AD66="",AA66="",AB66="",AC66=""),"",AD66*AB66/1000*AC66/AA66)</f>
        <v/>
      </c>
      <c r="AG66" s="23" t="str">
        <f aca="false">IF(OR(AE66="",AA66="",AB66="",AC66=""),"",AE66*AB66/1000*AC66/AA66)</f>
        <v/>
      </c>
      <c r="AH66" s="23" t="str">
        <f aca="false">IF(OR(AF66="",AG66=""),"",(AG66/39.1)/(AF66/22.99))</f>
        <v/>
      </c>
    </row>
    <row r="67" customFormat="false" ht="15" hidden="false" customHeight="false" outlineLevel="0" collapsed="false">
      <c r="A67" s="13" t="s">
        <v>224</v>
      </c>
      <c r="B67" s="13" t="s">
        <v>225</v>
      </c>
      <c r="C67" s="13" t="s">
        <v>210</v>
      </c>
      <c r="D67" s="13" t="n">
        <v>150</v>
      </c>
      <c r="E67" s="13" t="n">
        <v>1</v>
      </c>
      <c r="F67" s="14"/>
      <c r="G67" s="14"/>
      <c r="H67" s="23" t="str">
        <f aca="false">IF(OR(F67="",G67=""),"",G67/F67)</f>
        <v/>
      </c>
      <c r="I67" s="14"/>
      <c r="J67" s="14"/>
      <c r="K67" s="14"/>
      <c r="L67" s="14"/>
      <c r="M67" s="23" t="str">
        <f aca="false">IF(OR(K67="",L67="",I67="",J67=""),"",((K67-L67)/155)*1000*J67/I67)</f>
        <v/>
      </c>
      <c r="N67" s="14"/>
      <c r="O67" s="14"/>
      <c r="P67" s="14"/>
      <c r="Q67" s="23" t="str">
        <f aca="false">IF(OR(ISNUMBER(Std_Curves!$B$13)=FALSE()),"",IF(OR(O67=""),"",(O67-Std_Curves!$B$14)/Std_Curves!$B$13))</f>
        <v/>
      </c>
      <c r="R67" s="23" t="str">
        <f aca="false">IF(OR(Q67="",P67="",N67=""),"",(Q67*P67/115.13)/(N67/5))</f>
        <v/>
      </c>
      <c r="S67" s="14"/>
      <c r="T67" s="14"/>
      <c r="U67" s="14"/>
      <c r="V67" s="14"/>
      <c r="W67" s="14"/>
      <c r="X67" s="23" t="str">
        <f aca="false">IF(OR(V67="",S67="",T67="",U67=""),"",V67*T67/1000*U67/S67)</f>
        <v/>
      </c>
      <c r="Y67" s="23" t="str">
        <f aca="false">IF(OR(W67="",S67="",T67="",U67=""),"",W67*T67/1000*U67/S67)</f>
        <v/>
      </c>
      <c r="Z67" s="23" t="str">
        <f aca="false">IF(OR(X67="",Y67=""),"",(Y67/39.1)/(X67/22.99))</f>
        <v/>
      </c>
      <c r="AA67" s="14"/>
      <c r="AB67" s="14"/>
      <c r="AC67" s="14"/>
      <c r="AD67" s="14"/>
      <c r="AE67" s="14"/>
      <c r="AF67" s="23" t="str">
        <f aca="false">IF(OR(AD67="",AA67="",AB67="",AC67=""),"",AD67*AB67/1000*AC67/AA67)</f>
        <v/>
      </c>
      <c r="AG67" s="23" t="str">
        <f aca="false">IF(OR(AE67="",AA67="",AB67="",AC67=""),"",AE67*AB67/1000*AC67/AA67)</f>
        <v/>
      </c>
      <c r="AH67" s="23" t="str">
        <f aca="false">IF(OR(AF67="",AG67=""),"",(AG67/39.1)/(AF67/22.99))</f>
        <v/>
      </c>
    </row>
    <row r="68" customFormat="false" ht="15" hidden="false" customHeight="false" outlineLevel="0" collapsed="false">
      <c r="A68" s="13" t="s">
        <v>226</v>
      </c>
      <c r="B68" s="13" t="s">
        <v>225</v>
      </c>
      <c r="C68" s="13" t="s">
        <v>210</v>
      </c>
      <c r="D68" s="13" t="n">
        <v>150</v>
      </c>
      <c r="E68" s="13" t="n">
        <v>2</v>
      </c>
      <c r="F68" s="14"/>
      <c r="G68" s="14"/>
      <c r="H68" s="23" t="str">
        <f aca="false">IF(OR(F68="",G68=""),"",G68/F68)</f>
        <v/>
      </c>
      <c r="I68" s="14"/>
      <c r="J68" s="14"/>
      <c r="K68" s="14"/>
      <c r="L68" s="14"/>
      <c r="M68" s="23" t="str">
        <f aca="false">IF(OR(K68="",L68="",I68="",J68=""),"",((K68-L68)/155)*1000*J68/I68)</f>
        <v/>
      </c>
      <c r="N68" s="14"/>
      <c r="O68" s="14"/>
      <c r="P68" s="14"/>
      <c r="Q68" s="23" t="str">
        <f aca="false">IF(OR(ISNUMBER(Std_Curves!$B$13)=FALSE()),"",IF(OR(O68=""),"",(O68-Std_Curves!$B$14)/Std_Curves!$B$13))</f>
        <v/>
      </c>
      <c r="R68" s="23" t="str">
        <f aca="false">IF(OR(Q68="",P68="",N68=""),"",(Q68*P68/115.13)/(N68/5))</f>
        <v/>
      </c>
      <c r="S68" s="14"/>
      <c r="T68" s="14"/>
      <c r="U68" s="14"/>
      <c r="V68" s="14"/>
      <c r="W68" s="14"/>
      <c r="X68" s="23" t="str">
        <f aca="false">IF(OR(V68="",S68="",T68="",U68=""),"",V68*T68/1000*U68/S68)</f>
        <v/>
      </c>
      <c r="Y68" s="23" t="str">
        <f aca="false">IF(OR(W68="",S68="",T68="",U68=""),"",W68*T68/1000*U68/S68)</f>
        <v/>
      </c>
      <c r="Z68" s="23" t="str">
        <f aca="false">IF(OR(X68="",Y68=""),"",(Y68/39.1)/(X68/22.99))</f>
        <v/>
      </c>
      <c r="AA68" s="14"/>
      <c r="AB68" s="14"/>
      <c r="AC68" s="14"/>
      <c r="AD68" s="14"/>
      <c r="AE68" s="14"/>
      <c r="AF68" s="23" t="str">
        <f aca="false">IF(OR(AD68="",AA68="",AB68="",AC68=""),"",AD68*AB68/1000*AC68/AA68)</f>
        <v/>
      </c>
      <c r="AG68" s="23" t="str">
        <f aca="false">IF(OR(AE68="",AA68="",AB68="",AC68=""),"",AE68*AB68/1000*AC68/AA68)</f>
        <v/>
      </c>
      <c r="AH68" s="23" t="str">
        <f aca="false">IF(OR(AF68="",AG68=""),"",(AG68/39.1)/(AF68/22.99))</f>
        <v/>
      </c>
    </row>
    <row r="69" customFormat="false" ht="15" hidden="false" customHeight="false" outlineLevel="0" collapsed="false">
      <c r="A69" s="13" t="s">
        <v>227</v>
      </c>
      <c r="B69" s="13" t="s">
        <v>225</v>
      </c>
      <c r="C69" s="13" t="s">
        <v>210</v>
      </c>
      <c r="D69" s="13" t="n">
        <v>150</v>
      </c>
      <c r="E69" s="13" t="n">
        <v>3</v>
      </c>
      <c r="F69" s="14"/>
      <c r="G69" s="14"/>
      <c r="H69" s="23" t="str">
        <f aca="false">IF(OR(F69="",G69=""),"",G69/F69)</f>
        <v/>
      </c>
      <c r="I69" s="14"/>
      <c r="J69" s="14"/>
      <c r="K69" s="14"/>
      <c r="L69" s="14"/>
      <c r="M69" s="23" t="str">
        <f aca="false">IF(OR(K69="",L69="",I69="",J69=""),"",((K69-L69)/155)*1000*J69/I69)</f>
        <v/>
      </c>
      <c r="N69" s="14"/>
      <c r="O69" s="14"/>
      <c r="P69" s="14"/>
      <c r="Q69" s="23" t="str">
        <f aca="false">IF(OR(ISNUMBER(Std_Curves!$B$13)=FALSE()),"",IF(OR(O69=""),"",(O69-Std_Curves!$B$14)/Std_Curves!$B$13))</f>
        <v/>
      </c>
      <c r="R69" s="23" t="str">
        <f aca="false">IF(OR(Q69="",P69="",N69=""),"",(Q69*P69/115.13)/(N69/5))</f>
        <v/>
      </c>
      <c r="S69" s="14"/>
      <c r="T69" s="14"/>
      <c r="U69" s="14"/>
      <c r="V69" s="14"/>
      <c r="W69" s="14"/>
      <c r="X69" s="23" t="str">
        <f aca="false">IF(OR(V69="",S69="",T69="",U69=""),"",V69*T69/1000*U69/S69)</f>
        <v/>
      </c>
      <c r="Y69" s="23" t="str">
        <f aca="false">IF(OR(W69="",S69="",T69="",U69=""),"",W69*T69/1000*U69/S69)</f>
        <v/>
      </c>
      <c r="Z69" s="23" t="str">
        <f aca="false">IF(OR(X69="",Y69=""),"",(Y69/39.1)/(X69/22.99))</f>
        <v/>
      </c>
      <c r="AA69" s="14"/>
      <c r="AB69" s="14"/>
      <c r="AC69" s="14"/>
      <c r="AD69" s="14"/>
      <c r="AE69" s="14"/>
      <c r="AF69" s="23" t="str">
        <f aca="false">IF(OR(AD69="",AA69="",AB69="",AC69=""),"",AD69*AB69/1000*AC69/AA69)</f>
        <v/>
      </c>
      <c r="AG69" s="23" t="str">
        <f aca="false">IF(OR(AE69="",AA69="",AB69="",AC69=""),"",AE69*AB69/1000*AC69/AA69)</f>
        <v/>
      </c>
      <c r="AH69" s="23" t="str">
        <f aca="false">IF(OR(AF69="",AG69=""),"",(AG69/39.1)/(AF69/22.99))</f>
        <v/>
      </c>
    </row>
    <row r="70" customFormat="false" ht="15" hidden="false" customHeight="false" outlineLevel="0" collapsed="false">
      <c r="A70" s="13" t="s">
        <v>228</v>
      </c>
      <c r="B70" s="13" t="s">
        <v>225</v>
      </c>
      <c r="C70" s="13" t="s">
        <v>210</v>
      </c>
      <c r="D70" s="13" t="n">
        <v>150</v>
      </c>
      <c r="E70" s="13" t="n">
        <v>4</v>
      </c>
      <c r="F70" s="14"/>
      <c r="G70" s="14"/>
      <c r="H70" s="23" t="str">
        <f aca="false">IF(OR(F70="",G70=""),"",G70/F70)</f>
        <v/>
      </c>
      <c r="I70" s="14"/>
      <c r="J70" s="14"/>
      <c r="K70" s="14"/>
      <c r="L70" s="14"/>
      <c r="M70" s="23" t="str">
        <f aca="false">IF(OR(K70="",L70="",I70="",J70=""),"",((K70-L70)/155)*1000*J70/I70)</f>
        <v/>
      </c>
      <c r="N70" s="14"/>
      <c r="O70" s="14"/>
      <c r="P70" s="14"/>
      <c r="Q70" s="23" t="str">
        <f aca="false">IF(OR(ISNUMBER(Std_Curves!$B$13)=FALSE()),"",IF(OR(O70=""),"",(O70-Std_Curves!$B$14)/Std_Curves!$B$13))</f>
        <v/>
      </c>
      <c r="R70" s="23" t="str">
        <f aca="false">IF(OR(Q70="",P70="",N70=""),"",(Q70*P70/115.13)/(N70/5))</f>
        <v/>
      </c>
      <c r="S70" s="14"/>
      <c r="T70" s="14"/>
      <c r="U70" s="14"/>
      <c r="V70" s="14"/>
      <c r="W70" s="14"/>
      <c r="X70" s="23" t="str">
        <f aca="false">IF(OR(V70="",S70="",T70="",U70=""),"",V70*T70/1000*U70/S70)</f>
        <v/>
      </c>
      <c r="Y70" s="23" t="str">
        <f aca="false">IF(OR(W70="",S70="",T70="",U70=""),"",W70*T70/1000*U70/S70)</f>
        <v/>
      </c>
      <c r="Z70" s="23" t="str">
        <f aca="false">IF(OR(X70="",Y70=""),"",(Y70/39.1)/(X70/22.99))</f>
        <v/>
      </c>
      <c r="AA70" s="14"/>
      <c r="AB70" s="14"/>
      <c r="AC70" s="14"/>
      <c r="AD70" s="14"/>
      <c r="AE70" s="14"/>
      <c r="AF70" s="23" t="str">
        <f aca="false">IF(OR(AD70="",AA70="",AB70="",AC70=""),"",AD70*AB70/1000*AC70/AA70)</f>
        <v/>
      </c>
      <c r="AG70" s="23" t="str">
        <f aca="false">IF(OR(AE70="",AA70="",AB70="",AC70=""),"",AE70*AB70/1000*AC70/AA70)</f>
        <v/>
      </c>
      <c r="AH70" s="23" t="str">
        <f aca="false">IF(OR(AF70="",AG70=""),"",(AG70/39.1)/(AF70/22.99))</f>
        <v/>
      </c>
    </row>
  </sheetData>
  <mergeCells count="8">
    <mergeCell ref="A4:E4"/>
    <mergeCell ref="F4:H4"/>
    <mergeCell ref="I4:M4"/>
    <mergeCell ref="N4:R4"/>
    <mergeCell ref="S4:U4"/>
    <mergeCell ref="V4:Z4"/>
    <mergeCell ref="AA4:AC4"/>
    <mergeCell ref="AD4:A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22" min="3" style="0" width="14"/>
  </cols>
  <sheetData>
    <row r="1" customFormat="false" ht="16.15" hidden="false" customHeight="false" outlineLevel="0" collapsed="false">
      <c r="A1" s="1" t="s">
        <v>411</v>
      </c>
    </row>
    <row r="2" customFormat="false" ht="15" hidden="false" customHeight="false" outlineLevel="0" collapsed="false">
      <c r="A2" s="2" t="s">
        <v>412</v>
      </c>
    </row>
    <row r="4" customFormat="false" ht="75" hidden="false" customHeight="true" outlineLevel="0" collapsed="false">
      <c r="A4" s="28" t="s">
        <v>132</v>
      </c>
      <c r="B4" s="28" t="s">
        <v>413</v>
      </c>
      <c r="C4" s="29" t="s">
        <v>414</v>
      </c>
      <c r="D4" s="29" t="s">
        <v>415</v>
      </c>
      <c r="E4" s="29" t="s">
        <v>416</v>
      </c>
      <c r="F4" s="29" t="s">
        <v>417</v>
      </c>
      <c r="G4" s="29" t="s">
        <v>418</v>
      </c>
      <c r="H4" s="29" t="s">
        <v>419</v>
      </c>
      <c r="I4" s="29" t="s">
        <v>420</v>
      </c>
      <c r="J4" s="29" t="s">
        <v>421</v>
      </c>
      <c r="K4" s="29" t="s">
        <v>422</v>
      </c>
      <c r="L4" s="29" t="s">
        <v>423</v>
      </c>
      <c r="M4" s="29" t="s">
        <v>424</v>
      </c>
      <c r="N4" s="29" t="s">
        <v>425</v>
      </c>
      <c r="O4" s="29" t="s">
        <v>426</v>
      </c>
      <c r="P4" s="29" t="s">
        <v>427</v>
      </c>
      <c r="Q4" s="29" t="s">
        <v>428</v>
      </c>
      <c r="R4" s="29" t="s">
        <v>429</v>
      </c>
      <c r="S4" s="29" t="s">
        <v>430</v>
      </c>
      <c r="T4" s="29" t="s">
        <v>431</v>
      </c>
      <c r="U4" s="29" t="s">
        <v>432</v>
      </c>
      <c r="V4" s="29" t="s">
        <v>433</v>
      </c>
    </row>
    <row r="5" customFormat="false" ht="15" hidden="false" customHeight="false" outlineLevel="0" collapsed="false">
      <c r="A5" s="6" t="s">
        <v>146</v>
      </c>
      <c r="B5" s="30" t="n">
        <f aca="false">SUMPRODUCT((B_Minimal!$B$7:$B$70=$A5)*(B_Minimal!$M$7:$M$70&lt;&gt;""))</f>
        <v>0</v>
      </c>
      <c r="C5" s="31" t="str">
        <f aca="false">IFERROR(AVERAGEIFS(B_Minimal!$F$7:$F$70,B_Minimal!$B$7:$B$70,$A5),"")</f>
        <v/>
      </c>
      <c r="D5" s="31" t="str">
        <f aca="false">IFERROR(AVERAGEIFS(B_Minimal!$G$7:$G$70,B_Minimal!$B$7:$B$70,$A5),"")</f>
        <v/>
      </c>
      <c r="E5" s="31" t="str">
        <f aca="false">IFERROR(AVERAGEIFS(B_Minimal!$H$7:$H$70,B_Minimal!$B$7:$B$70,$A5),"")</f>
        <v/>
      </c>
      <c r="F5" s="31" t="str">
        <f aca="false">IFERROR(AVERAGEIFS(B_Minimal!$M$7:$M$70,B_Minimal!$B$7:$B$70,$A5),"")</f>
        <v/>
      </c>
      <c r="G5" s="31" t="str">
        <f aca="false">IFERROR(AVERAGEIFS(B_Minimal!$R$7:$R$70,B_Minimal!$B$7:$B$70,$A5),"")</f>
        <v/>
      </c>
      <c r="H5" s="31" t="str">
        <f aca="false">IFERROR(AVERAGEIFS(B_Minimal!$X$7:$X$70,B_Minimal!$B$7:$B$70,$A5),"")</f>
        <v/>
      </c>
      <c r="I5" s="31" t="str">
        <f aca="false">IFERROR(AVERAGEIFS(B_Minimal!$Y$7:$Y$70,B_Minimal!$B$7:$B$70,$A5),"")</f>
        <v/>
      </c>
      <c r="J5" s="31" t="str">
        <f aca="false">IFERROR(AVERAGEIFS(B_Minimal!$Z$7:$Z$70,B_Minimal!$B$7:$B$70,$A5),"")</f>
        <v/>
      </c>
      <c r="K5" s="31" t="str">
        <f aca="false">IFERROR(AVERAGEIFS(B_Minimal!$AF$7:$AF$70,B_Minimal!$B$7:$B$70,$A5),"")</f>
        <v/>
      </c>
      <c r="L5" s="31" t="str">
        <f aca="false">IFERROR(AVERAGEIFS(B_Minimal!$AH$7:$AH$70,B_Minimal!$B$7:$B$70,$A5),"")</f>
        <v/>
      </c>
      <c r="M5" s="31" t="str">
        <f aca="false">IFERROR(AVERAGEIFS(A2_Growth_Harvest!$T$7:$T$70,A2_Growth_Harvest!$B$7:$B$70,$A5),"")</f>
        <v/>
      </c>
      <c r="N5" s="31" t="str">
        <f aca="false">IFERROR(AVERAGEIFS(A2_Growth_Harvest!$W$7:$W$70,A2_Growth_Harvest!$B$7:$B$70,$A5),"")</f>
        <v/>
      </c>
      <c r="O5" s="31" t="str">
        <f aca="false">IFERROR(AVERAGEIFS(A3_Pigments!$P$7:$P$70,A3_Pigments!$B$7:$B$70,$A5),"")</f>
        <v/>
      </c>
      <c r="P5" s="31" t="str">
        <f aca="false">IFERROR(AVERAGEIFS(A4_Osmo_Oxidative!$S$7:$S$70,A4_Osmo_Oxidative!$B$7:$B$70,$A5),"")</f>
        <v/>
      </c>
      <c r="Q5" s="31" t="str">
        <f aca="false">IFERROR(AVERAGEIFS(A5_Enzymes!$M$7:$M$70,A5_Enzymes!$B$7:$B$70,$A5),"")</f>
        <v/>
      </c>
      <c r="R5" s="31" t="str">
        <f aca="false">IFERROR(AVERAGEIFS(A5_Enzymes!$Q$7:$Q$70,A5_Enzymes!$B$7:$B$70,$A5),"")</f>
        <v/>
      </c>
      <c r="S5" s="31" t="str">
        <f aca="false">IFERROR(AVERAGEIFS(A5_Enzymes!$U$7:$U$70,A5_Enzymes!$B$7:$B$70,$A5),"")</f>
        <v/>
      </c>
      <c r="T5" s="31" t="str">
        <f aca="false">IFERROR(AVERAGEIFS(A5_Enzymes!$Y$7:$Y$70,A5_Enzymes!$B$7:$B$70,$A5),"")</f>
        <v/>
      </c>
      <c r="U5" s="31" t="str">
        <f aca="false">IFERROR(AVERAGEIFS(A6_Ions!$Q$7:$Q$70,A6_Ions!$B$7:$B$70,$A5),"")</f>
        <v/>
      </c>
      <c r="V5" s="31" t="str">
        <f aca="false">IFERROR(AVERAGEIFS(A6_Ions!$AC$7:$AC$70,A6_Ions!$B$7:$B$70,$A5),"")</f>
        <v/>
      </c>
    </row>
    <row r="6" customFormat="false" ht="15" hidden="false" customHeight="false" outlineLevel="0" collapsed="false">
      <c r="A6" s="6" t="s">
        <v>152</v>
      </c>
      <c r="B6" s="30" t="n">
        <f aca="false">SUMPRODUCT((B_Minimal!$B$7:$B$70=$A6)*(B_Minimal!$M$7:$M$70&lt;&gt;""))</f>
        <v>0</v>
      </c>
      <c r="C6" s="31" t="str">
        <f aca="false">IFERROR(AVERAGEIFS(B_Minimal!$F$7:$F$70,B_Minimal!$B$7:$B$70,$A6),"")</f>
        <v/>
      </c>
      <c r="D6" s="31" t="str">
        <f aca="false">IFERROR(AVERAGEIFS(B_Minimal!$G$7:$G$70,B_Minimal!$B$7:$B$70,$A6),"")</f>
        <v/>
      </c>
      <c r="E6" s="31" t="str">
        <f aca="false">IFERROR(AVERAGEIFS(B_Minimal!$H$7:$H$70,B_Minimal!$B$7:$B$70,$A6),"")</f>
        <v/>
      </c>
      <c r="F6" s="31" t="str">
        <f aca="false">IFERROR(AVERAGEIFS(B_Minimal!$M$7:$M$70,B_Minimal!$B$7:$B$70,$A6),"")</f>
        <v/>
      </c>
      <c r="G6" s="31" t="str">
        <f aca="false">IFERROR(AVERAGEIFS(B_Minimal!$R$7:$R$70,B_Minimal!$B$7:$B$70,$A6),"")</f>
        <v/>
      </c>
      <c r="H6" s="31" t="str">
        <f aca="false">IFERROR(AVERAGEIFS(B_Minimal!$X$7:$X$70,B_Minimal!$B$7:$B$70,$A6),"")</f>
        <v/>
      </c>
      <c r="I6" s="31" t="str">
        <f aca="false">IFERROR(AVERAGEIFS(B_Minimal!$Y$7:$Y$70,B_Minimal!$B$7:$B$70,$A6),"")</f>
        <v/>
      </c>
      <c r="J6" s="31" t="str">
        <f aca="false">IFERROR(AVERAGEIFS(B_Minimal!$Z$7:$Z$70,B_Minimal!$B$7:$B$70,$A6),"")</f>
        <v/>
      </c>
      <c r="K6" s="31" t="str">
        <f aca="false">IFERROR(AVERAGEIFS(B_Minimal!$AF$7:$AF$70,B_Minimal!$B$7:$B$70,$A6),"")</f>
        <v/>
      </c>
      <c r="L6" s="31" t="str">
        <f aca="false">IFERROR(AVERAGEIFS(B_Minimal!$AH$7:$AH$70,B_Minimal!$B$7:$B$70,$A6),"")</f>
        <v/>
      </c>
      <c r="M6" s="31" t="str">
        <f aca="false">IFERROR(AVERAGEIFS(A2_Growth_Harvest!$T$7:$T$70,A2_Growth_Harvest!$B$7:$B$70,$A6),"")</f>
        <v/>
      </c>
      <c r="N6" s="31" t="str">
        <f aca="false">IFERROR(AVERAGEIFS(A2_Growth_Harvest!$W$7:$W$70,A2_Growth_Harvest!$B$7:$B$70,$A6),"")</f>
        <v/>
      </c>
      <c r="O6" s="31" t="str">
        <f aca="false">IFERROR(AVERAGEIFS(A3_Pigments!$P$7:$P$70,A3_Pigments!$B$7:$B$70,$A6),"")</f>
        <v/>
      </c>
      <c r="P6" s="31" t="str">
        <f aca="false">IFERROR(AVERAGEIFS(A4_Osmo_Oxidative!$S$7:$S$70,A4_Osmo_Oxidative!$B$7:$B$70,$A6),"")</f>
        <v/>
      </c>
      <c r="Q6" s="31" t="str">
        <f aca="false">IFERROR(AVERAGEIFS(A5_Enzymes!$M$7:$M$70,A5_Enzymes!$B$7:$B$70,$A6),"")</f>
        <v/>
      </c>
      <c r="R6" s="31" t="str">
        <f aca="false">IFERROR(AVERAGEIFS(A5_Enzymes!$Q$7:$Q$70,A5_Enzymes!$B$7:$B$70,$A6),"")</f>
        <v/>
      </c>
      <c r="S6" s="31" t="str">
        <f aca="false">IFERROR(AVERAGEIFS(A5_Enzymes!$U$7:$U$70,A5_Enzymes!$B$7:$B$70,$A6),"")</f>
        <v/>
      </c>
      <c r="T6" s="31" t="str">
        <f aca="false">IFERROR(AVERAGEIFS(A5_Enzymes!$Y$7:$Y$70,A5_Enzymes!$B$7:$B$70,$A6),"")</f>
        <v/>
      </c>
      <c r="U6" s="31" t="str">
        <f aca="false">IFERROR(AVERAGEIFS(A6_Ions!$Q$7:$Q$70,A6_Ions!$B$7:$B$70,$A6),"")</f>
        <v/>
      </c>
      <c r="V6" s="31" t="str">
        <f aca="false">IFERROR(AVERAGEIFS(A6_Ions!$AC$7:$AC$70,A6_Ions!$B$7:$B$70,$A6),"")</f>
        <v/>
      </c>
    </row>
    <row r="7" customFormat="false" ht="15" hidden="false" customHeight="false" outlineLevel="0" collapsed="false">
      <c r="A7" s="6" t="s">
        <v>157</v>
      </c>
      <c r="B7" s="30" t="n">
        <f aca="false">SUMPRODUCT((B_Minimal!$B$7:$B$70=$A7)*(B_Minimal!$M$7:$M$70&lt;&gt;""))</f>
        <v>0</v>
      </c>
      <c r="C7" s="31" t="str">
        <f aca="false">IFERROR(AVERAGEIFS(B_Minimal!$F$7:$F$70,B_Minimal!$B$7:$B$70,$A7),"")</f>
        <v/>
      </c>
      <c r="D7" s="31" t="str">
        <f aca="false">IFERROR(AVERAGEIFS(B_Minimal!$G$7:$G$70,B_Minimal!$B$7:$B$70,$A7),"")</f>
        <v/>
      </c>
      <c r="E7" s="31" t="str">
        <f aca="false">IFERROR(AVERAGEIFS(B_Minimal!$H$7:$H$70,B_Minimal!$B$7:$B$70,$A7),"")</f>
        <v/>
      </c>
      <c r="F7" s="31" t="str">
        <f aca="false">IFERROR(AVERAGEIFS(B_Minimal!$M$7:$M$70,B_Minimal!$B$7:$B$70,$A7),"")</f>
        <v/>
      </c>
      <c r="G7" s="31" t="str">
        <f aca="false">IFERROR(AVERAGEIFS(B_Minimal!$R$7:$R$70,B_Minimal!$B$7:$B$70,$A7),"")</f>
        <v/>
      </c>
      <c r="H7" s="31" t="str">
        <f aca="false">IFERROR(AVERAGEIFS(B_Minimal!$X$7:$X$70,B_Minimal!$B$7:$B$70,$A7),"")</f>
        <v/>
      </c>
      <c r="I7" s="31" t="str">
        <f aca="false">IFERROR(AVERAGEIFS(B_Minimal!$Y$7:$Y$70,B_Minimal!$B$7:$B$70,$A7),"")</f>
        <v/>
      </c>
      <c r="J7" s="31" t="str">
        <f aca="false">IFERROR(AVERAGEIFS(B_Minimal!$Z$7:$Z$70,B_Minimal!$B$7:$B$70,$A7),"")</f>
        <v/>
      </c>
      <c r="K7" s="31" t="str">
        <f aca="false">IFERROR(AVERAGEIFS(B_Minimal!$AF$7:$AF$70,B_Minimal!$B$7:$B$70,$A7),"")</f>
        <v/>
      </c>
      <c r="L7" s="31" t="str">
        <f aca="false">IFERROR(AVERAGEIFS(B_Minimal!$AH$7:$AH$70,B_Minimal!$B$7:$B$70,$A7),"")</f>
        <v/>
      </c>
      <c r="M7" s="31" t="str">
        <f aca="false">IFERROR(AVERAGEIFS(A2_Growth_Harvest!$T$7:$T$70,A2_Growth_Harvest!$B$7:$B$70,$A7),"")</f>
        <v/>
      </c>
      <c r="N7" s="31" t="str">
        <f aca="false">IFERROR(AVERAGEIFS(A2_Growth_Harvest!$W$7:$W$70,A2_Growth_Harvest!$B$7:$B$70,$A7),"")</f>
        <v/>
      </c>
      <c r="O7" s="31" t="str">
        <f aca="false">IFERROR(AVERAGEIFS(A3_Pigments!$P$7:$P$70,A3_Pigments!$B$7:$B$70,$A7),"")</f>
        <v/>
      </c>
      <c r="P7" s="31" t="str">
        <f aca="false">IFERROR(AVERAGEIFS(A4_Osmo_Oxidative!$S$7:$S$70,A4_Osmo_Oxidative!$B$7:$B$70,$A7),"")</f>
        <v/>
      </c>
      <c r="Q7" s="31" t="str">
        <f aca="false">IFERROR(AVERAGEIFS(A5_Enzymes!$M$7:$M$70,A5_Enzymes!$B$7:$B$70,$A7),"")</f>
        <v/>
      </c>
      <c r="R7" s="31" t="str">
        <f aca="false">IFERROR(AVERAGEIFS(A5_Enzymes!$Q$7:$Q$70,A5_Enzymes!$B$7:$B$70,$A7),"")</f>
        <v/>
      </c>
      <c r="S7" s="31" t="str">
        <f aca="false">IFERROR(AVERAGEIFS(A5_Enzymes!$U$7:$U$70,A5_Enzymes!$B$7:$B$70,$A7),"")</f>
        <v/>
      </c>
      <c r="T7" s="31" t="str">
        <f aca="false">IFERROR(AVERAGEIFS(A5_Enzymes!$Y$7:$Y$70,A5_Enzymes!$B$7:$B$70,$A7),"")</f>
        <v/>
      </c>
      <c r="U7" s="31" t="str">
        <f aca="false">IFERROR(AVERAGEIFS(A6_Ions!$Q$7:$Q$70,A6_Ions!$B$7:$B$70,$A7),"")</f>
        <v/>
      </c>
      <c r="V7" s="31" t="str">
        <f aca="false">IFERROR(AVERAGEIFS(A6_Ions!$AC$7:$AC$70,A6_Ions!$B$7:$B$70,$A7),"")</f>
        <v/>
      </c>
    </row>
    <row r="8" customFormat="false" ht="15" hidden="false" customHeight="false" outlineLevel="0" collapsed="false">
      <c r="A8" s="6" t="s">
        <v>162</v>
      </c>
      <c r="B8" s="30" t="n">
        <f aca="false">SUMPRODUCT((B_Minimal!$B$7:$B$70=$A8)*(B_Minimal!$M$7:$M$70&lt;&gt;""))</f>
        <v>0</v>
      </c>
      <c r="C8" s="31" t="str">
        <f aca="false">IFERROR(AVERAGEIFS(B_Minimal!$F$7:$F$70,B_Minimal!$B$7:$B$70,$A8),"")</f>
        <v/>
      </c>
      <c r="D8" s="31" t="str">
        <f aca="false">IFERROR(AVERAGEIFS(B_Minimal!$G$7:$G$70,B_Minimal!$B$7:$B$70,$A8),"")</f>
        <v/>
      </c>
      <c r="E8" s="31" t="str">
        <f aca="false">IFERROR(AVERAGEIFS(B_Minimal!$H$7:$H$70,B_Minimal!$B$7:$B$70,$A8),"")</f>
        <v/>
      </c>
      <c r="F8" s="31" t="str">
        <f aca="false">IFERROR(AVERAGEIFS(B_Minimal!$M$7:$M$70,B_Minimal!$B$7:$B$70,$A8),"")</f>
        <v/>
      </c>
      <c r="G8" s="31" t="str">
        <f aca="false">IFERROR(AVERAGEIFS(B_Minimal!$R$7:$R$70,B_Minimal!$B$7:$B$70,$A8),"")</f>
        <v/>
      </c>
      <c r="H8" s="31" t="str">
        <f aca="false">IFERROR(AVERAGEIFS(B_Minimal!$X$7:$X$70,B_Minimal!$B$7:$B$70,$A8),"")</f>
        <v/>
      </c>
      <c r="I8" s="31" t="str">
        <f aca="false">IFERROR(AVERAGEIFS(B_Minimal!$Y$7:$Y$70,B_Minimal!$B$7:$B$70,$A8),"")</f>
        <v/>
      </c>
      <c r="J8" s="31" t="str">
        <f aca="false">IFERROR(AVERAGEIFS(B_Minimal!$Z$7:$Z$70,B_Minimal!$B$7:$B$70,$A8),"")</f>
        <v/>
      </c>
      <c r="K8" s="31" t="str">
        <f aca="false">IFERROR(AVERAGEIFS(B_Minimal!$AF$7:$AF$70,B_Minimal!$B$7:$B$70,$A8),"")</f>
        <v/>
      </c>
      <c r="L8" s="31" t="str">
        <f aca="false">IFERROR(AVERAGEIFS(B_Minimal!$AH$7:$AH$70,B_Minimal!$B$7:$B$70,$A8),"")</f>
        <v/>
      </c>
      <c r="M8" s="31" t="str">
        <f aca="false">IFERROR(AVERAGEIFS(A2_Growth_Harvest!$T$7:$T$70,A2_Growth_Harvest!$B$7:$B$70,$A8),"")</f>
        <v/>
      </c>
      <c r="N8" s="31" t="str">
        <f aca="false">IFERROR(AVERAGEIFS(A2_Growth_Harvest!$W$7:$W$70,A2_Growth_Harvest!$B$7:$B$70,$A8),"")</f>
        <v/>
      </c>
      <c r="O8" s="31" t="str">
        <f aca="false">IFERROR(AVERAGEIFS(A3_Pigments!$P$7:$P$70,A3_Pigments!$B$7:$B$70,$A8),"")</f>
        <v/>
      </c>
      <c r="P8" s="31" t="str">
        <f aca="false">IFERROR(AVERAGEIFS(A4_Osmo_Oxidative!$S$7:$S$70,A4_Osmo_Oxidative!$B$7:$B$70,$A8),"")</f>
        <v/>
      </c>
      <c r="Q8" s="31" t="str">
        <f aca="false">IFERROR(AVERAGEIFS(A5_Enzymes!$M$7:$M$70,A5_Enzymes!$B$7:$B$70,$A8),"")</f>
        <v/>
      </c>
      <c r="R8" s="31" t="str">
        <f aca="false">IFERROR(AVERAGEIFS(A5_Enzymes!$Q$7:$Q$70,A5_Enzymes!$B$7:$B$70,$A8),"")</f>
        <v/>
      </c>
      <c r="S8" s="31" t="str">
        <f aca="false">IFERROR(AVERAGEIFS(A5_Enzymes!$U$7:$U$70,A5_Enzymes!$B$7:$B$70,$A8),"")</f>
        <v/>
      </c>
      <c r="T8" s="31" t="str">
        <f aca="false">IFERROR(AVERAGEIFS(A5_Enzymes!$Y$7:$Y$70,A5_Enzymes!$B$7:$B$70,$A8),"")</f>
        <v/>
      </c>
      <c r="U8" s="31" t="str">
        <f aca="false">IFERROR(AVERAGEIFS(A6_Ions!$Q$7:$Q$70,A6_Ions!$B$7:$B$70,$A8),"")</f>
        <v/>
      </c>
      <c r="V8" s="31" t="str">
        <f aca="false">IFERROR(AVERAGEIFS(A6_Ions!$AC$7:$AC$70,A6_Ions!$B$7:$B$70,$A8),"")</f>
        <v/>
      </c>
    </row>
    <row r="9" customFormat="false" ht="15" hidden="false" customHeight="false" outlineLevel="0" collapsed="false">
      <c r="A9" s="6" t="s">
        <v>167</v>
      </c>
      <c r="B9" s="30" t="n">
        <f aca="false">SUMPRODUCT((B_Minimal!$B$7:$B$70=$A9)*(B_Minimal!$M$7:$M$70&lt;&gt;""))</f>
        <v>0</v>
      </c>
      <c r="C9" s="31" t="str">
        <f aca="false">IFERROR(AVERAGEIFS(B_Minimal!$F$7:$F$70,B_Minimal!$B$7:$B$70,$A9),"")</f>
        <v/>
      </c>
      <c r="D9" s="31" t="str">
        <f aca="false">IFERROR(AVERAGEIFS(B_Minimal!$G$7:$G$70,B_Minimal!$B$7:$B$70,$A9),"")</f>
        <v/>
      </c>
      <c r="E9" s="31" t="str">
        <f aca="false">IFERROR(AVERAGEIFS(B_Minimal!$H$7:$H$70,B_Minimal!$B$7:$B$70,$A9),"")</f>
        <v/>
      </c>
      <c r="F9" s="31" t="str">
        <f aca="false">IFERROR(AVERAGEIFS(B_Minimal!$M$7:$M$70,B_Minimal!$B$7:$B$70,$A9),"")</f>
        <v/>
      </c>
      <c r="G9" s="31" t="str">
        <f aca="false">IFERROR(AVERAGEIFS(B_Minimal!$R$7:$R$70,B_Minimal!$B$7:$B$70,$A9),"")</f>
        <v/>
      </c>
      <c r="H9" s="31" t="str">
        <f aca="false">IFERROR(AVERAGEIFS(B_Minimal!$X$7:$X$70,B_Minimal!$B$7:$B$70,$A9),"")</f>
        <v/>
      </c>
      <c r="I9" s="31" t="str">
        <f aca="false">IFERROR(AVERAGEIFS(B_Minimal!$Y$7:$Y$70,B_Minimal!$B$7:$B$70,$A9),"")</f>
        <v/>
      </c>
      <c r="J9" s="31" t="str">
        <f aca="false">IFERROR(AVERAGEIFS(B_Minimal!$Z$7:$Z$70,B_Minimal!$B$7:$B$70,$A9),"")</f>
        <v/>
      </c>
      <c r="K9" s="31" t="str">
        <f aca="false">IFERROR(AVERAGEIFS(B_Minimal!$AF$7:$AF$70,B_Minimal!$B$7:$B$70,$A9),"")</f>
        <v/>
      </c>
      <c r="L9" s="31" t="str">
        <f aca="false">IFERROR(AVERAGEIFS(B_Minimal!$AH$7:$AH$70,B_Minimal!$B$7:$B$70,$A9),"")</f>
        <v/>
      </c>
      <c r="M9" s="31" t="str">
        <f aca="false">IFERROR(AVERAGEIFS(A2_Growth_Harvest!$T$7:$T$70,A2_Growth_Harvest!$B$7:$B$70,$A9),"")</f>
        <v/>
      </c>
      <c r="N9" s="31" t="str">
        <f aca="false">IFERROR(AVERAGEIFS(A2_Growth_Harvest!$W$7:$W$70,A2_Growth_Harvest!$B$7:$B$70,$A9),"")</f>
        <v/>
      </c>
      <c r="O9" s="31" t="str">
        <f aca="false">IFERROR(AVERAGEIFS(A3_Pigments!$P$7:$P$70,A3_Pigments!$B$7:$B$70,$A9),"")</f>
        <v/>
      </c>
      <c r="P9" s="31" t="str">
        <f aca="false">IFERROR(AVERAGEIFS(A4_Osmo_Oxidative!$S$7:$S$70,A4_Osmo_Oxidative!$B$7:$B$70,$A9),"")</f>
        <v/>
      </c>
      <c r="Q9" s="31" t="str">
        <f aca="false">IFERROR(AVERAGEIFS(A5_Enzymes!$M$7:$M$70,A5_Enzymes!$B$7:$B$70,$A9),"")</f>
        <v/>
      </c>
      <c r="R9" s="31" t="str">
        <f aca="false">IFERROR(AVERAGEIFS(A5_Enzymes!$Q$7:$Q$70,A5_Enzymes!$B$7:$B$70,$A9),"")</f>
        <v/>
      </c>
      <c r="S9" s="31" t="str">
        <f aca="false">IFERROR(AVERAGEIFS(A5_Enzymes!$U$7:$U$70,A5_Enzymes!$B$7:$B$70,$A9),"")</f>
        <v/>
      </c>
      <c r="T9" s="31" t="str">
        <f aca="false">IFERROR(AVERAGEIFS(A5_Enzymes!$Y$7:$Y$70,A5_Enzymes!$B$7:$B$70,$A9),"")</f>
        <v/>
      </c>
      <c r="U9" s="31" t="str">
        <f aca="false">IFERROR(AVERAGEIFS(A6_Ions!$Q$7:$Q$70,A6_Ions!$B$7:$B$70,$A9),"")</f>
        <v/>
      </c>
      <c r="V9" s="31" t="str">
        <f aca="false">IFERROR(AVERAGEIFS(A6_Ions!$AC$7:$AC$70,A6_Ions!$B$7:$B$70,$A9),"")</f>
        <v/>
      </c>
    </row>
    <row r="10" customFormat="false" ht="15" hidden="false" customHeight="false" outlineLevel="0" collapsed="false">
      <c r="A10" s="6" t="s">
        <v>173</v>
      </c>
      <c r="B10" s="30" t="n">
        <f aca="false">SUMPRODUCT((B_Minimal!$B$7:$B$70=$A10)*(B_Minimal!$M$7:$M$70&lt;&gt;""))</f>
        <v>0</v>
      </c>
      <c r="C10" s="31" t="str">
        <f aca="false">IFERROR(AVERAGEIFS(B_Minimal!$F$7:$F$70,B_Minimal!$B$7:$B$70,$A10),"")</f>
        <v/>
      </c>
      <c r="D10" s="31" t="str">
        <f aca="false">IFERROR(AVERAGEIFS(B_Minimal!$G$7:$G$70,B_Minimal!$B$7:$B$70,$A10),"")</f>
        <v/>
      </c>
      <c r="E10" s="31" t="str">
        <f aca="false">IFERROR(AVERAGEIFS(B_Minimal!$H$7:$H$70,B_Minimal!$B$7:$B$70,$A10),"")</f>
        <v/>
      </c>
      <c r="F10" s="31" t="str">
        <f aca="false">IFERROR(AVERAGEIFS(B_Minimal!$M$7:$M$70,B_Minimal!$B$7:$B$70,$A10),"")</f>
        <v/>
      </c>
      <c r="G10" s="31" t="str">
        <f aca="false">IFERROR(AVERAGEIFS(B_Minimal!$R$7:$R$70,B_Minimal!$B$7:$B$70,$A10),"")</f>
        <v/>
      </c>
      <c r="H10" s="31" t="str">
        <f aca="false">IFERROR(AVERAGEIFS(B_Minimal!$X$7:$X$70,B_Minimal!$B$7:$B$70,$A10),"")</f>
        <v/>
      </c>
      <c r="I10" s="31" t="str">
        <f aca="false">IFERROR(AVERAGEIFS(B_Minimal!$Y$7:$Y$70,B_Minimal!$B$7:$B$70,$A10),"")</f>
        <v/>
      </c>
      <c r="J10" s="31" t="str">
        <f aca="false">IFERROR(AVERAGEIFS(B_Minimal!$Z$7:$Z$70,B_Minimal!$B$7:$B$70,$A10),"")</f>
        <v/>
      </c>
      <c r="K10" s="31" t="str">
        <f aca="false">IFERROR(AVERAGEIFS(B_Minimal!$AF$7:$AF$70,B_Minimal!$B$7:$B$70,$A10),"")</f>
        <v/>
      </c>
      <c r="L10" s="31" t="str">
        <f aca="false">IFERROR(AVERAGEIFS(B_Minimal!$AH$7:$AH$70,B_Minimal!$B$7:$B$70,$A10),"")</f>
        <v/>
      </c>
      <c r="M10" s="31" t="str">
        <f aca="false">IFERROR(AVERAGEIFS(A2_Growth_Harvest!$T$7:$T$70,A2_Growth_Harvest!$B$7:$B$70,$A10),"")</f>
        <v/>
      </c>
      <c r="N10" s="31" t="str">
        <f aca="false">IFERROR(AVERAGEIFS(A2_Growth_Harvest!$W$7:$W$70,A2_Growth_Harvest!$B$7:$B$70,$A10),"")</f>
        <v/>
      </c>
      <c r="O10" s="31" t="str">
        <f aca="false">IFERROR(AVERAGEIFS(A3_Pigments!$P$7:$P$70,A3_Pigments!$B$7:$B$70,$A10),"")</f>
        <v/>
      </c>
      <c r="P10" s="31" t="str">
        <f aca="false">IFERROR(AVERAGEIFS(A4_Osmo_Oxidative!$S$7:$S$70,A4_Osmo_Oxidative!$B$7:$B$70,$A10),"")</f>
        <v/>
      </c>
      <c r="Q10" s="31" t="str">
        <f aca="false">IFERROR(AVERAGEIFS(A5_Enzymes!$M$7:$M$70,A5_Enzymes!$B$7:$B$70,$A10),"")</f>
        <v/>
      </c>
      <c r="R10" s="31" t="str">
        <f aca="false">IFERROR(AVERAGEIFS(A5_Enzymes!$Q$7:$Q$70,A5_Enzymes!$B$7:$B$70,$A10),"")</f>
        <v/>
      </c>
      <c r="S10" s="31" t="str">
        <f aca="false">IFERROR(AVERAGEIFS(A5_Enzymes!$U$7:$U$70,A5_Enzymes!$B$7:$B$70,$A10),"")</f>
        <v/>
      </c>
      <c r="T10" s="31" t="str">
        <f aca="false">IFERROR(AVERAGEIFS(A5_Enzymes!$Y$7:$Y$70,A5_Enzymes!$B$7:$B$70,$A10),"")</f>
        <v/>
      </c>
      <c r="U10" s="31" t="str">
        <f aca="false">IFERROR(AVERAGEIFS(A6_Ions!$Q$7:$Q$70,A6_Ions!$B$7:$B$70,$A10),"")</f>
        <v/>
      </c>
      <c r="V10" s="31" t="str">
        <f aca="false">IFERROR(AVERAGEIFS(A6_Ions!$AC$7:$AC$70,A6_Ions!$B$7:$B$70,$A10),"")</f>
        <v/>
      </c>
    </row>
    <row r="11" customFormat="false" ht="15" hidden="false" customHeight="false" outlineLevel="0" collapsed="false">
      <c r="A11" s="6" t="s">
        <v>178</v>
      </c>
      <c r="B11" s="30" t="n">
        <f aca="false">SUMPRODUCT((B_Minimal!$B$7:$B$70=$A11)*(B_Minimal!$M$7:$M$70&lt;&gt;""))</f>
        <v>0</v>
      </c>
      <c r="C11" s="31" t="str">
        <f aca="false">IFERROR(AVERAGEIFS(B_Minimal!$F$7:$F$70,B_Minimal!$B$7:$B$70,$A11),"")</f>
        <v/>
      </c>
      <c r="D11" s="31" t="str">
        <f aca="false">IFERROR(AVERAGEIFS(B_Minimal!$G$7:$G$70,B_Minimal!$B$7:$B$70,$A11),"")</f>
        <v/>
      </c>
      <c r="E11" s="31" t="str">
        <f aca="false">IFERROR(AVERAGEIFS(B_Minimal!$H$7:$H$70,B_Minimal!$B$7:$B$70,$A11),"")</f>
        <v/>
      </c>
      <c r="F11" s="31" t="str">
        <f aca="false">IFERROR(AVERAGEIFS(B_Minimal!$M$7:$M$70,B_Minimal!$B$7:$B$70,$A11),"")</f>
        <v/>
      </c>
      <c r="G11" s="31" t="str">
        <f aca="false">IFERROR(AVERAGEIFS(B_Minimal!$R$7:$R$70,B_Minimal!$B$7:$B$70,$A11),"")</f>
        <v/>
      </c>
      <c r="H11" s="31" t="str">
        <f aca="false">IFERROR(AVERAGEIFS(B_Minimal!$X$7:$X$70,B_Minimal!$B$7:$B$70,$A11),"")</f>
        <v/>
      </c>
      <c r="I11" s="31" t="str">
        <f aca="false">IFERROR(AVERAGEIFS(B_Minimal!$Y$7:$Y$70,B_Minimal!$B$7:$B$70,$A11),"")</f>
        <v/>
      </c>
      <c r="J11" s="31" t="str">
        <f aca="false">IFERROR(AVERAGEIFS(B_Minimal!$Z$7:$Z$70,B_Minimal!$B$7:$B$70,$A11),"")</f>
        <v/>
      </c>
      <c r="K11" s="31" t="str">
        <f aca="false">IFERROR(AVERAGEIFS(B_Minimal!$AF$7:$AF$70,B_Minimal!$B$7:$B$70,$A11),"")</f>
        <v/>
      </c>
      <c r="L11" s="31" t="str">
        <f aca="false">IFERROR(AVERAGEIFS(B_Minimal!$AH$7:$AH$70,B_Minimal!$B$7:$B$70,$A11),"")</f>
        <v/>
      </c>
      <c r="M11" s="31" t="str">
        <f aca="false">IFERROR(AVERAGEIFS(A2_Growth_Harvest!$T$7:$T$70,A2_Growth_Harvest!$B$7:$B$70,$A11),"")</f>
        <v/>
      </c>
      <c r="N11" s="31" t="str">
        <f aca="false">IFERROR(AVERAGEIFS(A2_Growth_Harvest!$W$7:$W$70,A2_Growth_Harvest!$B$7:$B$70,$A11),"")</f>
        <v/>
      </c>
      <c r="O11" s="31" t="str">
        <f aca="false">IFERROR(AVERAGEIFS(A3_Pigments!$P$7:$P$70,A3_Pigments!$B$7:$B$70,$A11),"")</f>
        <v/>
      </c>
      <c r="P11" s="31" t="str">
        <f aca="false">IFERROR(AVERAGEIFS(A4_Osmo_Oxidative!$S$7:$S$70,A4_Osmo_Oxidative!$B$7:$B$70,$A11),"")</f>
        <v/>
      </c>
      <c r="Q11" s="31" t="str">
        <f aca="false">IFERROR(AVERAGEIFS(A5_Enzymes!$M$7:$M$70,A5_Enzymes!$B$7:$B$70,$A11),"")</f>
        <v/>
      </c>
      <c r="R11" s="31" t="str">
        <f aca="false">IFERROR(AVERAGEIFS(A5_Enzymes!$Q$7:$Q$70,A5_Enzymes!$B$7:$B$70,$A11),"")</f>
        <v/>
      </c>
      <c r="S11" s="31" t="str">
        <f aca="false">IFERROR(AVERAGEIFS(A5_Enzymes!$U$7:$U$70,A5_Enzymes!$B$7:$B$70,$A11),"")</f>
        <v/>
      </c>
      <c r="T11" s="31" t="str">
        <f aca="false">IFERROR(AVERAGEIFS(A5_Enzymes!$Y$7:$Y$70,A5_Enzymes!$B$7:$B$70,$A11),"")</f>
        <v/>
      </c>
      <c r="U11" s="31" t="str">
        <f aca="false">IFERROR(AVERAGEIFS(A6_Ions!$Q$7:$Q$70,A6_Ions!$B$7:$B$70,$A11),"")</f>
        <v/>
      </c>
      <c r="V11" s="31" t="str">
        <f aca="false">IFERROR(AVERAGEIFS(A6_Ions!$AC$7:$AC$70,A6_Ions!$B$7:$B$70,$A11),"")</f>
        <v/>
      </c>
    </row>
    <row r="12" customFormat="false" ht="15" hidden="false" customHeight="false" outlineLevel="0" collapsed="false">
      <c r="A12" s="6" t="s">
        <v>183</v>
      </c>
      <c r="B12" s="30" t="n">
        <f aca="false">SUMPRODUCT((B_Minimal!$B$7:$B$70=$A12)*(B_Minimal!$M$7:$M$70&lt;&gt;""))</f>
        <v>0</v>
      </c>
      <c r="C12" s="31" t="str">
        <f aca="false">IFERROR(AVERAGEIFS(B_Minimal!$F$7:$F$70,B_Minimal!$B$7:$B$70,$A12),"")</f>
        <v/>
      </c>
      <c r="D12" s="31" t="str">
        <f aca="false">IFERROR(AVERAGEIFS(B_Minimal!$G$7:$G$70,B_Minimal!$B$7:$B$70,$A12),"")</f>
        <v/>
      </c>
      <c r="E12" s="31" t="str">
        <f aca="false">IFERROR(AVERAGEIFS(B_Minimal!$H$7:$H$70,B_Minimal!$B$7:$B$70,$A12),"")</f>
        <v/>
      </c>
      <c r="F12" s="31" t="str">
        <f aca="false">IFERROR(AVERAGEIFS(B_Minimal!$M$7:$M$70,B_Minimal!$B$7:$B$70,$A12),"")</f>
        <v/>
      </c>
      <c r="G12" s="31" t="str">
        <f aca="false">IFERROR(AVERAGEIFS(B_Minimal!$R$7:$R$70,B_Minimal!$B$7:$B$70,$A12),"")</f>
        <v/>
      </c>
      <c r="H12" s="31" t="str">
        <f aca="false">IFERROR(AVERAGEIFS(B_Minimal!$X$7:$X$70,B_Minimal!$B$7:$B$70,$A12),"")</f>
        <v/>
      </c>
      <c r="I12" s="31" t="str">
        <f aca="false">IFERROR(AVERAGEIFS(B_Minimal!$Y$7:$Y$70,B_Minimal!$B$7:$B$70,$A12),"")</f>
        <v/>
      </c>
      <c r="J12" s="31" t="str">
        <f aca="false">IFERROR(AVERAGEIFS(B_Minimal!$Z$7:$Z$70,B_Minimal!$B$7:$B$70,$A12),"")</f>
        <v/>
      </c>
      <c r="K12" s="31" t="str">
        <f aca="false">IFERROR(AVERAGEIFS(B_Minimal!$AF$7:$AF$70,B_Minimal!$B$7:$B$70,$A12),"")</f>
        <v/>
      </c>
      <c r="L12" s="31" t="str">
        <f aca="false">IFERROR(AVERAGEIFS(B_Minimal!$AH$7:$AH$70,B_Minimal!$B$7:$B$70,$A12),"")</f>
        <v/>
      </c>
      <c r="M12" s="31" t="str">
        <f aca="false">IFERROR(AVERAGEIFS(A2_Growth_Harvest!$T$7:$T$70,A2_Growth_Harvest!$B$7:$B$70,$A12),"")</f>
        <v/>
      </c>
      <c r="N12" s="31" t="str">
        <f aca="false">IFERROR(AVERAGEIFS(A2_Growth_Harvest!$W$7:$W$70,A2_Growth_Harvest!$B$7:$B$70,$A12),"")</f>
        <v/>
      </c>
      <c r="O12" s="31" t="str">
        <f aca="false">IFERROR(AVERAGEIFS(A3_Pigments!$P$7:$P$70,A3_Pigments!$B$7:$B$70,$A12),"")</f>
        <v/>
      </c>
      <c r="P12" s="31" t="str">
        <f aca="false">IFERROR(AVERAGEIFS(A4_Osmo_Oxidative!$S$7:$S$70,A4_Osmo_Oxidative!$B$7:$B$70,$A12),"")</f>
        <v/>
      </c>
      <c r="Q12" s="31" t="str">
        <f aca="false">IFERROR(AVERAGEIFS(A5_Enzymes!$M$7:$M$70,A5_Enzymes!$B$7:$B$70,$A12),"")</f>
        <v/>
      </c>
      <c r="R12" s="31" t="str">
        <f aca="false">IFERROR(AVERAGEIFS(A5_Enzymes!$Q$7:$Q$70,A5_Enzymes!$B$7:$B$70,$A12),"")</f>
        <v/>
      </c>
      <c r="S12" s="31" t="str">
        <f aca="false">IFERROR(AVERAGEIFS(A5_Enzymes!$U$7:$U$70,A5_Enzymes!$B$7:$B$70,$A12),"")</f>
        <v/>
      </c>
      <c r="T12" s="31" t="str">
        <f aca="false">IFERROR(AVERAGEIFS(A5_Enzymes!$Y$7:$Y$70,A5_Enzymes!$B$7:$B$70,$A12),"")</f>
        <v/>
      </c>
      <c r="U12" s="31" t="str">
        <f aca="false">IFERROR(AVERAGEIFS(A6_Ions!$Q$7:$Q$70,A6_Ions!$B$7:$B$70,$A12),"")</f>
        <v/>
      </c>
      <c r="V12" s="31" t="str">
        <f aca="false">IFERROR(AVERAGEIFS(A6_Ions!$AC$7:$AC$70,A6_Ions!$B$7:$B$70,$A12),"")</f>
        <v/>
      </c>
    </row>
    <row r="13" customFormat="false" ht="15" hidden="false" customHeight="false" outlineLevel="0" collapsed="false">
      <c r="A13" s="6" t="s">
        <v>188</v>
      </c>
      <c r="B13" s="30" t="n">
        <f aca="false">SUMPRODUCT((B_Minimal!$B$7:$B$70=$A13)*(B_Minimal!$M$7:$M$70&lt;&gt;""))</f>
        <v>0</v>
      </c>
      <c r="C13" s="31" t="str">
        <f aca="false">IFERROR(AVERAGEIFS(B_Minimal!$F$7:$F$70,B_Minimal!$B$7:$B$70,$A13),"")</f>
        <v/>
      </c>
      <c r="D13" s="31" t="str">
        <f aca="false">IFERROR(AVERAGEIFS(B_Minimal!$G$7:$G$70,B_Minimal!$B$7:$B$70,$A13),"")</f>
        <v/>
      </c>
      <c r="E13" s="31" t="str">
        <f aca="false">IFERROR(AVERAGEIFS(B_Minimal!$H$7:$H$70,B_Minimal!$B$7:$B$70,$A13),"")</f>
        <v/>
      </c>
      <c r="F13" s="31" t="str">
        <f aca="false">IFERROR(AVERAGEIFS(B_Minimal!$M$7:$M$70,B_Minimal!$B$7:$B$70,$A13),"")</f>
        <v/>
      </c>
      <c r="G13" s="31" t="str">
        <f aca="false">IFERROR(AVERAGEIFS(B_Minimal!$R$7:$R$70,B_Minimal!$B$7:$B$70,$A13),"")</f>
        <v/>
      </c>
      <c r="H13" s="31" t="str">
        <f aca="false">IFERROR(AVERAGEIFS(B_Minimal!$X$7:$X$70,B_Minimal!$B$7:$B$70,$A13),"")</f>
        <v/>
      </c>
      <c r="I13" s="31" t="str">
        <f aca="false">IFERROR(AVERAGEIFS(B_Minimal!$Y$7:$Y$70,B_Minimal!$B$7:$B$70,$A13),"")</f>
        <v/>
      </c>
      <c r="J13" s="31" t="str">
        <f aca="false">IFERROR(AVERAGEIFS(B_Minimal!$Z$7:$Z$70,B_Minimal!$B$7:$B$70,$A13),"")</f>
        <v/>
      </c>
      <c r="K13" s="31" t="str">
        <f aca="false">IFERROR(AVERAGEIFS(B_Minimal!$AF$7:$AF$70,B_Minimal!$B$7:$B$70,$A13),"")</f>
        <v/>
      </c>
      <c r="L13" s="31" t="str">
        <f aca="false">IFERROR(AVERAGEIFS(B_Minimal!$AH$7:$AH$70,B_Minimal!$B$7:$B$70,$A13),"")</f>
        <v/>
      </c>
      <c r="M13" s="31" t="str">
        <f aca="false">IFERROR(AVERAGEIFS(A2_Growth_Harvest!$T$7:$T$70,A2_Growth_Harvest!$B$7:$B$70,$A13),"")</f>
        <v/>
      </c>
      <c r="N13" s="31" t="str">
        <f aca="false">IFERROR(AVERAGEIFS(A2_Growth_Harvest!$W$7:$W$70,A2_Growth_Harvest!$B$7:$B$70,$A13),"")</f>
        <v/>
      </c>
      <c r="O13" s="31" t="str">
        <f aca="false">IFERROR(AVERAGEIFS(A3_Pigments!$P$7:$P$70,A3_Pigments!$B$7:$B$70,$A13),"")</f>
        <v/>
      </c>
      <c r="P13" s="31" t="str">
        <f aca="false">IFERROR(AVERAGEIFS(A4_Osmo_Oxidative!$S$7:$S$70,A4_Osmo_Oxidative!$B$7:$B$70,$A13),"")</f>
        <v/>
      </c>
      <c r="Q13" s="31" t="str">
        <f aca="false">IFERROR(AVERAGEIFS(A5_Enzymes!$M$7:$M$70,A5_Enzymes!$B$7:$B$70,$A13),"")</f>
        <v/>
      </c>
      <c r="R13" s="31" t="str">
        <f aca="false">IFERROR(AVERAGEIFS(A5_Enzymes!$Q$7:$Q$70,A5_Enzymes!$B$7:$B$70,$A13),"")</f>
        <v/>
      </c>
      <c r="S13" s="31" t="str">
        <f aca="false">IFERROR(AVERAGEIFS(A5_Enzymes!$U$7:$U$70,A5_Enzymes!$B$7:$B$70,$A13),"")</f>
        <v/>
      </c>
      <c r="T13" s="31" t="str">
        <f aca="false">IFERROR(AVERAGEIFS(A5_Enzymes!$Y$7:$Y$70,A5_Enzymes!$B$7:$B$70,$A13),"")</f>
        <v/>
      </c>
      <c r="U13" s="31" t="str">
        <f aca="false">IFERROR(AVERAGEIFS(A6_Ions!$Q$7:$Q$70,A6_Ions!$B$7:$B$70,$A13),"")</f>
        <v/>
      </c>
      <c r="V13" s="31" t="str">
        <f aca="false">IFERROR(AVERAGEIFS(A6_Ions!$AC$7:$AC$70,A6_Ions!$B$7:$B$70,$A13),"")</f>
        <v/>
      </c>
    </row>
    <row r="14" customFormat="false" ht="15" hidden="false" customHeight="false" outlineLevel="0" collapsed="false">
      <c r="A14" s="6" t="s">
        <v>194</v>
      </c>
      <c r="B14" s="30" t="n">
        <f aca="false">SUMPRODUCT((B_Minimal!$B$7:$B$70=$A14)*(B_Minimal!$M$7:$M$70&lt;&gt;""))</f>
        <v>0</v>
      </c>
      <c r="C14" s="31" t="str">
        <f aca="false">IFERROR(AVERAGEIFS(B_Minimal!$F$7:$F$70,B_Minimal!$B$7:$B$70,$A14),"")</f>
        <v/>
      </c>
      <c r="D14" s="31" t="str">
        <f aca="false">IFERROR(AVERAGEIFS(B_Minimal!$G$7:$G$70,B_Minimal!$B$7:$B$70,$A14),"")</f>
        <v/>
      </c>
      <c r="E14" s="31" t="str">
        <f aca="false">IFERROR(AVERAGEIFS(B_Minimal!$H$7:$H$70,B_Minimal!$B$7:$B$70,$A14),"")</f>
        <v/>
      </c>
      <c r="F14" s="31" t="str">
        <f aca="false">IFERROR(AVERAGEIFS(B_Minimal!$M$7:$M$70,B_Minimal!$B$7:$B$70,$A14),"")</f>
        <v/>
      </c>
      <c r="G14" s="31" t="str">
        <f aca="false">IFERROR(AVERAGEIFS(B_Minimal!$R$7:$R$70,B_Minimal!$B$7:$B$70,$A14),"")</f>
        <v/>
      </c>
      <c r="H14" s="31" t="str">
        <f aca="false">IFERROR(AVERAGEIFS(B_Minimal!$X$7:$X$70,B_Minimal!$B$7:$B$70,$A14),"")</f>
        <v/>
      </c>
      <c r="I14" s="31" t="str">
        <f aca="false">IFERROR(AVERAGEIFS(B_Minimal!$Y$7:$Y$70,B_Minimal!$B$7:$B$70,$A14),"")</f>
        <v/>
      </c>
      <c r="J14" s="31" t="str">
        <f aca="false">IFERROR(AVERAGEIFS(B_Minimal!$Z$7:$Z$70,B_Minimal!$B$7:$B$70,$A14),"")</f>
        <v/>
      </c>
      <c r="K14" s="31" t="str">
        <f aca="false">IFERROR(AVERAGEIFS(B_Minimal!$AF$7:$AF$70,B_Minimal!$B$7:$B$70,$A14),"")</f>
        <v/>
      </c>
      <c r="L14" s="31" t="str">
        <f aca="false">IFERROR(AVERAGEIFS(B_Minimal!$AH$7:$AH$70,B_Minimal!$B$7:$B$70,$A14),"")</f>
        <v/>
      </c>
      <c r="M14" s="31" t="str">
        <f aca="false">IFERROR(AVERAGEIFS(A2_Growth_Harvest!$T$7:$T$70,A2_Growth_Harvest!$B$7:$B$70,$A14),"")</f>
        <v/>
      </c>
      <c r="N14" s="31" t="str">
        <f aca="false">IFERROR(AVERAGEIFS(A2_Growth_Harvest!$W$7:$W$70,A2_Growth_Harvest!$B$7:$B$70,$A14),"")</f>
        <v/>
      </c>
      <c r="O14" s="31" t="str">
        <f aca="false">IFERROR(AVERAGEIFS(A3_Pigments!$P$7:$P$70,A3_Pigments!$B$7:$B$70,$A14),"")</f>
        <v/>
      </c>
      <c r="P14" s="31" t="str">
        <f aca="false">IFERROR(AVERAGEIFS(A4_Osmo_Oxidative!$S$7:$S$70,A4_Osmo_Oxidative!$B$7:$B$70,$A14),"")</f>
        <v/>
      </c>
      <c r="Q14" s="31" t="str">
        <f aca="false">IFERROR(AVERAGEIFS(A5_Enzymes!$M$7:$M$70,A5_Enzymes!$B$7:$B$70,$A14),"")</f>
        <v/>
      </c>
      <c r="R14" s="31" t="str">
        <f aca="false">IFERROR(AVERAGEIFS(A5_Enzymes!$Q$7:$Q$70,A5_Enzymes!$B$7:$B$70,$A14),"")</f>
        <v/>
      </c>
      <c r="S14" s="31" t="str">
        <f aca="false">IFERROR(AVERAGEIFS(A5_Enzymes!$U$7:$U$70,A5_Enzymes!$B$7:$B$70,$A14),"")</f>
        <v/>
      </c>
      <c r="T14" s="31" t="str">
        <f aca="false">IFERROR(AVERAGEIFS(A5_Enzymes!$Y$7:$Y$70,A5_Enzymes!$B$7:$B$70,$A14),"")</f>
        <v/>
      </c>
      <c r="U14" s="31" t="str">
        <f aca="false">IFERROR(AVERAGEIFS(A6_Ions!$Q$7:$Q$70,A6_Ions!$B$7:$B$70,$A14),"")</f>
        <v/>
      </c>
      <c r="V14" s="31" t="str">
        <f aca="false">IFERROR(AVERAGEIFS(A6_Ions!$AC$7:$AC$70,A6_Ions!$B$7:$B$70,$A14),"")</f>
        <v/>
      </c>
    </row>
    <row r="15" customFormat="false" ht="15" hidden="false" customHeight="false" outlineLevel="0" collapsed="false">
      <c r="A15" s="6" t="s">
        <v>199</v>
      </c>
      <c r="B15" s="30" t="n">
        <f aca="false">SUMPRODUCT((B_Minimal!$B$7:$B$70=$A15)*(B_Minimal!$M$7:$M$70&lt;&gt;""))</f>
        <v>0</v>
      </c>
      <c r="C15" s="31" t="str">
        <f aca="false">IFERROR(AVERAGEIFS(B_Minimal!$F$7:$F$70,B_Minimal!$B$7:$B$70,$A15),"")</f>
        <v/>
      </c>
      <c r="D15" s="31" t="str">
        <f aca="false">IFERROR(AVERAGEIFS(B_Minimal!$G$7:$G$70,B_Minimal!$B$7:$B$70,$A15),"")</f>
        <v/>
      </c>
      <c r="E15" s="31" t="str">
        <f aca="false">IFERROR(AVERAGEIFS(B_Minimal!$H$7:$H$70,B_Minimal!$B$7:$B$70,$A15),"")</f>
        <v/>
      </c>
      <c r="F15" s="31" t="str">
        <f aca="false">IFERROR(AVERAGEIFS(B_Minimal!$M$7:$M$70,B_Minimal!$B$7:$B$70,$A15),"")</f>
        <v/>
      </c>
      <c r="G15" s="31" t="str">
        <f aca="false">IFERROR(AVERAGEIFS(B_Minimal!$R$7:$R$70,B_Minimal!$B$7:$B$70,$A15),"")</f>
        <v/>
      </c>
      <c r="H15" s="31" t="str">
        <f aca="false">IFERROR(AVERAGEIFS(B_Minimal!$X$7:$X$70,B_Minimal!$B$7:$B$70,$A15),"")</f>
        <v/>
      </c>
      <c r="I15" s="31" t="str">
        <f aca="false">IFERROR(AVERAGEIFS(B_Minimal!$Y$7:$Y$70,B_Minimal!$B$7:$B$70,$A15),"")</f>
        <v/>
      </c>
      <c r="J15" s="31" t="str">
        <f aca="false">IFERROR(AVERAGEIFS(B_Minimal!$Z$7:$Z$70,B_Minimal!$B$7:$B$70,$A15),"")</f>
        <v/>
      </c>
      <c r="K15" s="31" t="str">
        <f aca="false">IFERROR(AVERAGEIFS(B_Minimal!$AF$7:$AF$70,B_Minimal!$B$7:$B$70,$A15),"")</f>
        <v/>
      </c>
      <c r="L15" s="31" t="str">
        <f aca="false">IFERROR(AVERAGEIFS(B_Minimal!$AH$7:$AH$70,B_Minimal!$B$7:$B$70,$A15),"")</f>
        <v/>
      </c>
      <c r="M15" s="31" t="str">
        <f aca="false">IFERROR(AVERAGEIFS(A2_Growth_Harvest!$T$7:$T$70,A2_Growth_Harvest!$B$7:$B$70,$A15),"")</f>
        <v/>
      </c>
      <c r="N15" s="31" t="str">
        <f aca="false">IFERROR(AVERAGEIFS(A2_Growth_Harvest!$W$7:$W$70,A2_Growth_Harvest!$B$7:$B$70,$A15),"")</f>
        <v/>
      </c>
      <c r="O15" s="31" t="str">
        <f aca="false">IFERROR(AVERAGEIFS(A3_Pigments!$P$7:$P$70,A3_Pigments!$B$7:$B$70,$A15),"")</f>
        <v/>
      </c>
      <c r="P15" s="31" t="str">
        <f aca="false">IFERROR(AVERAGEIFS(A4_Osmo_Oxidative!$S$7:$S$70,A4_Osmo_Oxidative!$B$7:$B$70,$A15),"")</f>
        <v/>
      </c>
      <c r="Q15" s="31" t="str">
        <f aca="false">IFERROR(AVERAGEIFS(A5_Enzymes!$M$7:$M$70,A5_Enzymes!$B$7:$B$70,$A15),"")</f>
        <v/>
      </c>
      <c r="R15" s="31" t="str">
        <f aca="false">IFERROR(AVERAGEIFS(A5_Enzymes!$Q$7:$Q$70,A5_Enzymes!$B$7:$B$70,$A15),"")</f>
        <v/>
      </c>
      <c r="S15" s="31" t="str">
        <f aca="false">IFERROR(AVERAGEIFS(A5_Enzymes!$U$7:$U$70,A5_Enzymes!$B$7:$B$70,$A15),"")</f>
        <v/>
      </c>
      <c r="T15" s="31" t="str">
        <f aca="false">IFERROR(AVERAGEIFS(A5_Enzymes!$Y$7:$Y$70,A5_Enzymes!$B$7:$B$70,$A15),"")</f>
        <v/>
      </c>
      <c r="U15" s="31" t="str">
        <f aca="false">IFERROR(AVERAGEIFS(A6_Ions!$Q$7:$Q$70,A6_Ions!$B$7:$B$70,$A15),"")</f>
        <v/>
      </c>
      <c r="V15" s="31" t="str">
        <f aca="false">IFERROR(AVERAGEIFS(A6_Ions!$AC$7:$AC$70,A6_Ions!$B$7:$B$70,$A15),"")</f>
        <v/>
      </c>
    </row>
    <row r="16" customFormat="false" ht="15" hidden="false" customHeight="false" outlineLevel="0" collapsed="false">
      <c r="A16" s="6" t="s">
        <v>204</v>
      </c>
      <c r="B16" s="30" t="n">
        <f aca="false">SUMPRODUCT((B_Minimal!$B$7:$B$70=$A16)*(B_Minimal!$M$7:$M$70&lt;&gt;""))</f>
        <v>0</v>
      </c>
      <c r="C16" s="31" t="str">
        <f aca="false">IFERROR(AVERAGEIFS(B_Minimal!$F$7:$F$70,B_Minimal!$B$7:$B$70,$A16),"")</f>
        <v/>
      </c>
      <c r="D16" s="31" t="str">
        <f aca="false">IFERROR(AVERAGEIFS(B_Minimal!$G$7:$G$70,B_Minimal!$B$7:$B$70,$A16),"")</f>
        <v/>
      </c>
      <c r="E16" s="31" t="str">
        <f aca="false">IFERROR(AVERAGEIFS(B_Minimal!$H$7:$H$70,B_Minimal!$B$7:$B$70,$A16),"")</f>
        <v/>
      </c>
      <c r="F16" s="31" t="str">
        <f aca="false">IFERROR(AVERAGEIFS(B_Minimal!$M$7:$M$70,B_Minimal!$B$7:$B$70,$A16),"")</f>
        <v/>
      </c>
      <c r="G16" s="31" t="str">
        <f aca="false">IFERROR(AVERAGEIFS(B_Minimal!$R$7:$R$70,B_Minimal!$B$7:$B$70,$A16),"")</f>
        <v/>
      </c>
      <c r="H16" s="31" t="str">
        <f aca="false">IFERROR(AVERAGEIFS(B_Minimal!$X$7:$X$70,B_Minimal!$B$7:$B$70,$A16),"")</f>
        <v/>
      </c>
      <c r="I16" s="31" t="str">
        <f aca="false">IFERROR(AVERAGEIFS(B_Minimal!$Y$7:$Y$70,B_Minimal!$B$7:$B$70,$A16),"")</f>
        <v/>
      </c>
      <c r="J16" s="31" t="str">
        <f aca="false">IFERROR(AVERAGEIFS(B_Minimal!$Z$7:$Z$70,B_Minimal!$B$7:$B$70,$A16),"")</f>
        <v/>
      </c>
      <c r="K16" s="31" t="str">
        <f aca="false">IFERROR(AVERAGEIFS(B_Minimal!$AF$7:$AF$70,B_Minimal!$B$7:$B$70,$A16),"")</f>
        <v/>
      </c>
      <c r="L16" s="31" t="str">
        <f aca="false">IFERROR(AVERAGEIFS(B_Minimal!$AH$7:$AH$70,B_Minimal!$B$7:$B$70,$A16),"")</f>
        <v/>
      </c>
      <c r="M16" s="31" t="str">
        <f aca="false">IFERROR(AVERAGEIFS(A2_Growth_Harvest!$T$7:$T$70,A2_Growth_Harvest!$B$7:$B$70,$A16),"")</f>
        <v/>
      </c>
      <c r="N16" s="31" t="str">
        <f aca="false">IFERROR(AVERAGEIFS(A2_Growth_Harvest!$W$7:$W$70,A2_Growth_Harvest!$B$7:$B$70,$A16),"")</f>
        <v/>
      </c>
      <c r="O16" s="31" t="str">
        <f aca="false">IFERROR(AVERAGEIFS(A3_Pigments!$P$7:$P$70,A3_Pigments!$B$7:$B$70,$A16),"")</f>
        <v/>
      </c>
      <c r="P16" s="31" t="str">
        <f aca="false">IFERROR(AVERAGEIFS(A4_Osmo_Oxidative!$S$7:$S$70,A4_Osmo_Oxidative!$B$7:$B$70,$A16),"")</f>
        <v/>
      </c>
      <c r="Q16" s="31" t="str">
        <f aca="false">IFERROR(AVERAGEIFS(A5_Enzymes!$M$7:$M$70,A5_Enzymes!$B$7:$B$70,$A16),"")</f>
        <v/>
      </c>
      <c r="R16" s="31" t="str">
        <f aca="false">IFERROR(AVERAGEIFS(A5_Enzymes!$Q$7:$Q$70,A5_Enzymes!$B$7:$B$70,$A16),"")</f>
        <v/>
      </c>
      <c r="S16" s="31" t="str">
        <f aca="false">IFERROR(AVERAGEIFS(A5_Enzymes!$U$7:$U$70,A5_Enzymes!$B$7:$B$70,$A16),"")</f>
        <v/>
      </c>
      <c r="T16" s="31" t="str">
        <f aca="false">IFERROR(AVERAGEIFS(A5_Enzymes!$Y$7:$Y$70,A5_Enzymes!$B$7:$B$70,$A16),"")</f>
        <v/>
      </c>
      <c r="U16" s="31" t="str">
        <f aca="false">IFERROR(AVERAGEIFS(A6_Ions!$Q$7:$Q$70,A6_Ions!$B$7:$B$70,$A16),"")</f>
        <v/>
      </c>
      <c r="V16" s="31" t="str">
        <f aca="false">IFERROR(AVERAGEIFS(A6_Ions!$AC$7:$AC$70,A6_Ions!$B$7:$B$70,$A16),"")</f>
        <v/>
      </c>
    </row>
    <row r="17" customFormat="false" ht="15" hidden="false" customHeight="false" outlineLevel="0" collapsed="false">
      <c r="A17" s="6" t="s">
        <v>209</v>
      </c>
      <c r="B17" s="30" t="n">
        <f aca="false">SUMPRODUCT((B_Minimal!$B$7:$B$70=$A17)*(B_Minimal!$M$7:$M$70&lt;&gt;""))</f>
        <v>0</v>
      </c>
      <c r="C17" s="31" t="str">
        <f aca="false">IFERROR(AVERAGEIFS(B_Minimal!$F$7:$F$70,B_Minimal!$B$7:$B$70,$A17),"")</f>
        <v/>
      </c>
      <c r="D17" s="31" t="str">
        <f aca="false">IFERROR(AVERAGEIFS(B_Minimal!$G$7:$G$70,B_Minimal!$B$7:$B$70,$A17),"")</f>
        <v/>
      </c>
      <c r="E17" s="31" t="str">
        <f aca="false">IFERROR(AVERAGEIFS(B_Minimal!$H$7:$H$70,B_Minimal!$B$7:$B$70,$A17),"")</f>
        <v/>
      </c>
      <c r="F17" s="31" t="str">
        <f aca="false">IFERROR(AVERAGEIFS(B_Minimal!$M$7:$M$70,B_Minimal!$B$7:$B$70,$A17),"")</f>
        <v/>
      </c>
      <c r="G17" s="31" t="str">
        <f aca="false">IFERROR(AVERAGEIFS(B_Minimal!$R$7:$R$70,B_Minimal!$B$7:$B$70,$A17),"")</f>
        <v/>
      </c>
      <c r="H17" s="31" t="str">
        <f aca="false">IFERROR(AVERAGEIFS(B_Minimal!$X$7:$X$70,B_Minimal!$B$7:$B$70,$A17),"")</f>
        <v/>
      </c>
      <c r="I17" s="31" t="str">
        <f aca="false">IFERROR(AVERAGEIFS(B_Minimal!$Y$7:$Y$70,B_Minimal!$B$7:$B$70,$A17),"")</f>
        <v/>
      </c>
      <c r="J17" s="31" t="str">
        <f aca="false">IFERROR(AVERAGEIFS(B_Minimal!$Z$7:$Z$70,B_Minimal!$B$7:$B$70,$A17),"")</f>
        <v/>
      </c>
      <c r="K17" s="31" t="str">
        <f aca="false">IFERROR(AVERAGEIFS(B_Minimal!$AF$7:$AF$70,B_Minimal!$B$7:$B$70,$A17),"")</f>
        <v/>
      </c>
      <c r="L17" s="31" t="str">
        <f aca="false">IFERROR(AVERAGEIFS(B_Minimal!$AH$7:$AH$70,B_Minimal!$B$7:$B$70,$A17),"")</f>
        <v/>
      </c>
      <c r="M17" s="31" t="str">
        <f aca="false">IFERROR(AVERAGEIFS(A2_Growth_Harvest!$T$7:$T$70,A2_Growth_Harvest!$B$7:$B$70,$A17),"")</f>
        <v/>
      </c>
      <c r="N17" s="31" t="str">
        <f aca="false">IFERROR(AVERAGEIFS(A2_Growth_Harvest!$W$7:$W$70,A2_Growth_Harvest!$B$7:$B$70,$A17),"")</f>
        <v/>
      </c>
      <c r="O17" s="31" t="str">
        <f aca="false">IFERROR(AVERAGEIFS(A3_Pigments!$P$7:$P$70,A3_Pigments!$B$7:$B$70,$A17),"")</f>
        <v/>
      </c>
      <c r="P17" s="31" t="str">
        <f aca="false">IFERROR(AVERAGEIFS(A4_Osmo_Oxidative!$S$7:$S$70,A4_Osmo_Oxidative!$B$7:$B$70,$A17),"")</f>
        <v/>
      </c>
      <c r="Q17" s="31" t="str">
        <f aca="false">IFERROR(AVERAGEIFS(A5_Enzymes!$M$7:$M$70,A5_Enzymes!$B$7:$B$70,$A17),"")</f>
        <v/>
      </c>
      <c r="R17" s="31" t="str">
        <f aca="false">IFERROR(AVERAGEIFS(A5_Enzymes!$Q$7:$Q$70,A5_Enzymes!$B$7:$B$70,$A17),"")</f>
        <v/>
      </c>
      <c r="S17" s="31" t="str">
        <f aca="false">IFERROR(AVERAGEIFS(A5_Enzymes!$U$7:$U$70,A5_Enzymes!$B$7:$B$70,$A17),"")</f>
        <v/>
      </c>
      <c r="T17" s="31" t="str">
        <f aca="false">IFERROR(AVERAGEIFS(A5_Enzymes!$Y$7:$Y$70,A5_Enzymes!$B$7:$B$70,$A17),"")</f>
        <v/>
      </c>
      <c r="U17" s="31" t="str">
        <f aca="false">IFERROR(AVERAGEIFS(A6_Ions!$Q$7:$Q$70,A6_Ions!$B$7:$B$70,$A17),"")</f>
        <v/>
      </c>
      <c r="V17" s="31" t="str">
        <f aca="false">IFERROR(AVERAGEIFS(A6_Ions!$AC$7:$AC$70,A6_Ions!$B$7:$B$70,$A17),"")</f>
        <v/>
      </c>
    </row>
    <row r="18" customFormat="false" ht="15" hidden="false" customHeight="false" outlineLevel="0" collapsed="false">
      <c r="A18" s="6" t="s">
        <v>215</v>
      </c>
      <c r="B18" s="30" t="n">
        <f aca="false">SUMPRODUCT((B_Minimal!$B$7:$B$70=$A18)*(B_Minimal!$M$7:$M$70&lt;&gt;""))</f>
        <v>0</v>
      </c>
      <c r="C18" s="31" t="str">
        <f aca="false">IFERROR(AVERAGEIFS(B_Minimal!$F$7:$F$70,B_Minimal!$B$7:$B$70,$A18),"")</f>
        <v/>
      </c>
      <c r="D18" s="31" t="str">
        <f aca="false">IFERROR(AVERAGEIFS(B_Minimal!$G$7:$G$70,B_Minimal!$B$7:$B$70,$A18),"")</f>
        <v/>
      </c>
      <c r="E18" s="31" t="str">
        <f aca="false">IFERROR(AVERAGEIFS(B_Minimal!$H$7:$H$70,B_Minimal!$B$7:$B$70,$A18),"")</f>
        <v/>
      </c>
      <c r="F18" s="31" t="str">
        <f aca="false">IFERROR(AVERAGEIFS(B_Minimal!$M$7:$M$70,B_Minimal!$B$7:$B$70,$A18),"")</f>
        <v/>
      </c>
      <c r="G18" s="31" t="str">
        <f aca="false">IFERROR(AVERAGEIFS(B_Minimal!$R$7:$R$70,B_Minimal!$B$7:$B$70,$A18),"")</f>
        <v/>
      </c>
      <c r="H18" s="31" t="str">
        <f aca="false">IFERROR(AVERAGEIFS(B_Minimal!$X$7:$X$70,B_Minimal!$B$7:$B$70,$A18),"")</f>
        <v/>
      </c>
      <c r="I18" s="31" t="str">
        <f aca="false">IFERROR(AVERAGEIFS(B_Minimal!$Y$7:$Y$70,B_Minimal!$B$7:$B$70,$A18),"")</f>
        <v/>
      </c>
      <c r="J18" s="31" t="str">
        <f aca="false">IFERROR(AVERAGEIFS(B_Minimal!$Z$7:$Z$70,B_Minimal!$B$7:$B$70,$A18),"")</f>
        <v/>
      </c>
      <c r="K18" s="31" t="str">
        <f aca="false">IFERROR(AVERAGEIFS(B_Minimal!$AF$7:$AF$70,B_Minimal!$B$7:$B$70,$A18),"")</f>
        <v/>
      </c>
      <c r="L18" s="31" t="str">
        <f aca="false">IFERROR(AVERAGEIFS(B_Minimal!$AH$7:$AH$70,B_Minimal!$B$7:$B$70,$A18),"")</f>
        <v/>
      </c>
      <c r="M18" s="31" t="str">
        <f aca="false">IFERROR(AVERAGEIFS(A2_Growth_Harvest!$T$7:$T$70,A2_Growth_Harvest!$B$7:$B$70,$A18),"")</f>
        <v/>
      </c>
      <c r="N18" s="31" t="str">
        <f aca="false">IFERROR(AVERAGEIFS(A2_Growth_Harvest!$W$7:$W$70,A2_Growth_Harvest!$B$7:$B$70,$A18),"")</f>
        <v/>
      </c>
      <c r="O18" s="31" t="str">
        <f aca="false">IFERROR(AVERAGEIFS(A3_Pigments!$P$7:$P$70,A3_Pigments!$B$7:$B$70,$A18),"")</f>
        <v/>
      </c>
      <c r="P18" s="31" t="str">
        <f aca="false">IFERROR(AVERAGEIFS(A4_Osmo_Oxidative!$S$7:$S$70,A4_Osmo_Oxidative!$B$7:$B$70,$A18),"")</f>
        <v/>
      </c>
      <c r="Q18" s="31" t="str">
        <f aca="false">IFERROR(AVERAGEIFS(A5_Enzymes!$M$7:$M$70,A5_Enzymes!$B$7:$B$70,$A18),"")</f>
        <v/>
      </c>
      <c r="R18" s="31" t="str">
        <f aca="false">IFERROR(AVERAGEIFS(A5_Enzymes!$Q$7:$Q$70,A5_Enzymes!$B$7:$B$70,$A18),"")</f>
        <v/>
      </c>
      <c r="S18" s="31" t="str">
        <f aca="false">IFERROR(AVERAGEIFS(A5_Enzymes!$U$7:$U$70,A5_Enzymes!$B$7:$B$70,$A18),"")</f>
        <v/>
      </c>
      <c r="T18" s="31" t="str">
        <f aca="false">IFERROR(AVERAGEIFS(A5_Enzymes!$Y$7:$Y$70,A5_Enzymes!$B$7:$B$70,$A18),"")</f>
        <v/>
      </c>
      <c r="U18" s="31" t="str">
        <f aca="false">IFERROR(AVERAGEIFS(A6_Ions!$Q$7:$Q$70,A6_Ions!$B$7:$B$70,$A18),"")</f>
        <v/>
      </c>
      <c r="V18" s="31" t="str">
        <f aca="false">IFERROR(AVERAGEIFS(A6_Ions!$AC$7:$AC$70,A6_Ions!$B$7:$B$70,$A18),"")</f>
        <v/>
      </c>
    </row>
    <row r="19" customFormat="false" ht="15" hidden="false" customHeight="false" outlineLevel="0" collapsed="false">
      <c r="A19" s="6" t="s">
        <v>220</v>
      </c>
      <c r="B19" s="30" t="n">
        <f aca="false">SUMPRODUCT((B_Minimal!$B$7:$B$70=$A19)*(B_Minimal!$M$7:$M$70&lt;&gt;""))</f>
        <v>0</v>
      </c>
      <c r="C19" s="31" t="str">
        <f aca="false">IFERROR(AVERAGEIFS(B_Minimal!$F$7:$F$70,B_Minimal!$B$7:$B$70,$A19),"")</f>
        <v/>
      </c>
      <c r="D19" s="31" t="str">
        <f aca="false">IFERROR(AVERAGEIFS(B_Minimal!$G$7:$G$70,B_Minimal!$B$7:$B$70,$A19),"")</f>
        <v/>
      </c>
      <c r="E19" s="31" t="str">
        <f aca="false">IFERROR(AVERAGEIFS(B_Minimal!$H$7:$H$70,B_Minimal!$B$7:$B$70,$A19),"")</f>
        <v/>
      </c>
      <c r="F19" s="31" t="str">
        <f aca="false">IFERROR(AVERAGEIFS(B_Minimal!$M$7:$M$70,B_Minimal!$B$7:$B$70,$A19),"")</f>
        <v/>
      </c>
      <c r="G19" s="31" t="str">
        <f aca="false">IFERROR(AVERAGEIFS(B_Minimal!$R$7:$R$70,B_Minimal!$B$7:$B$70,$A19),"")</f>
        <v/>
      </c>
      <c r="H19" s="31" t="str">
        <f aca="false">IFERROR(AVERAGEIFS(B_Minimal!$X$7:$X$70,B_Minimal!$B$7:$B$70,$A19),"")</f>
        <v/>
      </c>
      <c r="I19" s="31" t="str">
        <f aca="false">IFERROR(AVERAGEIFS(B_Minimal!$Y$7:$Y$70,B_Minimal!$B$7:$B$70,$A19),"")</f>
        <v/>
      </c>
      <c r="J19" s="31" t="str">
        <f aca="false">IFERROR(AVERAGEIFS(B_Minimal!$Z$7:$Z$70,B_Minimal!$B$7:$B$70,$A19),"")</f>
        <v/>
      </c>
      <c r="K19" s="31" t="str">
        <f aca="false">IFERROR(AVERAGEIFS(B_Minimal!$AF$7:$AF$70,B_Minimal!$B$7:$B$70,$A19),"")</f>
        <v/>
      </c>
      <c r="L19" s="31" t="str">
        <f aca="false">IFERROR(AVERAGEIFS(B_Minimal!$AH$7:$AH$70,B_Minimal!$B$7:$B$70,$A19),"")</f>
        <v/>
      </c>
      <c r="M19" s="31" t="str">
        <f aca="false">IFERROR(AVERAGEIFS(A2_Growth_Harvest!$T$7:$T$70,A2_Growth_Harvest!$B$7:$B$70,$A19),"")</f>
        <v/>
      </c>
      <c r="N19" s="31" t="str">
        <f aca="false">IFERROR(AVERAGEIFS(A2_Growth_Harvest!$W$7:$W$70,A2_Growth_Harvest!$B$7:$B$70,$A19),"")</f>
        <v/>
      </c>
      <c r="O19" s="31" t="str">
        <f aca="false">IFERROR(AVERAGEIFS(A3_Pigments!$P$7:$P$70,A3_Pigments!$B$7:$B$70,$A19),"")</f>
        <v/>
      </c>
      <c r="P19" s="31" t="str">
        <f aca="false">IFERROR(AVERAGEIFS(A4_Osmo_Oxidative!$S$7:$S$70,A4_Osmo_Oxidative!$B$7:$B$70,$A19),"")</f>
        <v/>
      </c>
      <c r="Q19" s="31" t="str">
        <f aca="false">IFERROR(AVERAGEIFS(A5_Enzymes!$M$7:$M$70,A5_Enzymes!$B$7:$B$70,$A19),"")</f>
        <v/>
      </c>
      <c r="R19" s="31" t="str">
        <f aca="false">IFERROR(AVERAGEIFS(A5_Enzymes!$Q$7:$Q$70,A5_Enzymes!$B$7:$B$70,$A19),"")</f>
        <v/>
      </c>
      <c r="S19" s="31" t="str">
        <f aca="false">IFERROR(AVERAGEIFS(A5_Enzymes!$U$7:$U$70,A5_Enzymes!$B$7:$B$70,$A19),"")</f>
        <v/>
      </c>
      <c r="T19" s="31" t="str">
        <f aca="false">IFERROR(AVERAGEIFS(A5_Enzymes!$Y$7:$Y$70,A5_Enzymes!$B$7:$B$70,$A19),"")</f>
        <v/>
      </c>
      <c r="U19" s="31" t="str">
        <f aca="false">IFERROR(AVERAGEIFS(A6_Ions!$Q$7:$Q$70,A6_Ions!$B$7:$B$70,$A19),"")</f>
        <v/>
      </c>
      <c r="V19" s="31" t="str">
        <f aca="false">IFERROR(AVERAGEIFS(A6_Ions!$AC$7:$AC$70,A6_Ions!$B$7:$B$70,$A19),"")</f>
        <v/>
      </c>
    </row>
    <row r="20" customFormat="false" ht="15" hidden="false" customHeight="false" outlineLevel="0" collapsed="false">
      <c r="A20" s="6" t="s">
        <v>225</v>
      </c>
      <c r="B20" s="30" t="n">
        <f aca="false">SUMPRODUCT((B_Minimal!$B$7:$B$70=$A20)*(B_Minimal!$M$7:$M$70&lt;&gt;""))</f>
        <v>0</v>
      </c>
      <c r="C20" s="31" t="str">
        <f aca="false">IFERROR(AVERAGEIFS(B_Minimal!$F$7:$F$70,B_Minimal!$B$7:$B$70,$A20),"")</f>
        <v/>
      </c>
      <c r="D20" s="31" t="str">
        <f aca="false">IFERROR(AVERAGEIFS(B_Minimal!$G$7:$G$70,B_Minimal!$B$7:$B$70,$A20),"")</f>
        <v/>
      </c>
      <c r="E20" s="31" t="str">
        <f aca="false">IFERROR(AVERAGEIFS(B_Minimal!$H$7:$H$70,B_Minimal!$B$7:$B$70,$A20),"")</f>
        <v/>
      </c>
      <c r="F20" s="31" t="str">
        <f aca="false">IFERROR(AVERAGEIFS(B_Minimal!$M$7:$M$70,B_Minimal!$B$7:$B$70,$A20),"")</f>
        <v/>
      </c>
      <c r="G20" s="31" t="str">
        <f aca="false">IFERROR(AVERAGEIFS(B_Minimal!$R$7:$R$70,B_Minimal!$B$7:$B$70,$A20),"")</f>
        <v/>
      </c>
      <c r="H20" s="31" t="str">
        <f aca="false">IFERROR(AVERAGEIFS(B_Minimal!$X$7:$X$70,B_Minimal!$B$7:$B$70,$A20),"")</f>
        <v/>
      </c>
      <c r="I20" s="31" t="str">
        <f aca="false">IFERROR(AVERAGEIFS(B_Minimal!$Y$7:$Y$70,B_Minimal!$B$7:$B$70,$A20),"")</f>
        <v/>
      </c>
      <c r="J20" s="31" t="str">
        <f aca="false">IFERROR(AVERAGEIFS(B_Minimal!$Z$7:$Z$70,B_Minimal!$B$7:$B$70,$A20),"")</f>
        <v/>
      </c>
      <c r="K20" s="31" t="str">
        <f aca="false">IFERROR(AVERAGEIFS(B_Minimal!$AF$7:$AF$70,B_Minimal!$B$7:$B$70,$A20),"")</f>
        <v/>
      </c>
      <c r="L20" s="31" t="str">
        <f aca="false">IFERROR(AVERAGEIFS(B_Minimal!$AH$7:$AH$70,B_Minimal!$B$7:$B$70,$A20),"")</f>
        <v/>
      </c>
      <c r="M20" s="31" t="str">
        <f aca="false">IFERROR(AVERAGEIFS(A2_Growth_Harvest!$T$7:$T$70,A2_Growth_Harvest!$B$7:$B$70,$A20),"")</f>
        <v/>
      </c>
      <c r="N20" s="31" t="str">
        <f aca="false">IFERROR(AVERAGEIFS(A2_Growth_Harvest!$W$7:$W$70,A2_Growth_Harvest!$B$7:$B$70,$A20),"")</f>
        <v/>
      </c>
      <c r="O20" s="31" t="str">
        <f aca="false">IFERROR(AVERAGEIFS(A3_Pigments!$P$7:$P$70,A3_Pigments!$B$7:$B$70,$A20),"")</f>
        <v/>
      </c>
      <c r="P20" s="31" t="str">
        <f aca="false">IFERROR(AVERAGEIFS(A4_Osmo_Oxidative!$S$7:$S$70,A4_Osmo_Oxidative!$B$7:$B$70,$A20),"")</f>
        <v/>
      </c>
      <c r="Q20" s="31" t="str">
        <f aca="false">IFERROR(AVERAGEIFS(A5_Enzymes!$M$7:$M$70,A5_Enzymes!$B$7:$B$70,$A20),"")</f>
        <v/>
      </c>
      <c r="R20" s="31" t="str">
        <f aca="false">IFERROR(AVERAGEIFS(A5_Enzymes!$Q$7:$Q$70,A5_Enzymes!$B$7:$B$70,$A20),"")</f>
        <v/>
      </c>
      <c r="S20" s="31" t="str">
        <f aca="false">IFERROR(AVERAGEIFS(A5_Enzymes!$U$7:$U$70,A5_Enzymes!$B$7:$B$70,$A20),"")</f>
        <v/>
      </c>
      <c r="T20" s="31" t="str">
        <f aca="false">IFERROR(AVERAGEIFS(A5_Enzymes!$Y$7:$Y$70,A5_Enzymes!$B$7:$B$70,$A20),"")</f>
        <v/>
      </c>
      <c r="U20" s="31" t="str">
        <f aca="false">IFERROR(AVERAGEIFS(A6_Ions!$Q$7:$Q$70,A6_Ions!$B$7:$B$70,$A20),"")</f>
        <v/>
      </c>
      <c r="V20" s="31" t="str">
        <f aca="false">IFERROR(AVERAGEIFS(A6_Ions!$AC$7:$AC$70,A6_Ions!$B$7:$B$70,$A20),"")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10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" t="s">
        <v>434</v>
      </c>
    </row>
    <row r="2" customFormat="false" ht="15" hidden="false" customHeight="false" outlineLevel="0" collapsed="false">
      <c r="A2" s="2" t="s">
        <v>435</v>
      </c>
    </row>
    <row r="4" customFormat="false" ht="15" hidden="false" customHeight="false" outlineLevel="0" collapsed="false">
      <c r="A4" s="32" t="s">
        <v>436</v>
      </c>
      <c r="B4" s="32" t="s">
        <v>38</v>
      </c>
      <c r="C4" s="32" t="s">
        <v>437</v>
      </c>
      <c r="D4" s="32" t="s">
        <v>438</v>
      </c>
    </row>
    <row r="5" customFormat="false" ht="15" hidden="false" customHeight="false" outlineLevel="0" collapsed="false">
      <c r="A5" s="9" t="s">
        <v>439</v>
      </c>
      <c r="B5" s="9" t="s">
        <v>50</v>
      </c>
      <c r="C5" s="9" t="s">
        <v>440</v>
      </c>
      <c r="D5" s="33"/>
    </row>
    <row r="6" customFormat="false" ht="15" hidden="false" customHeight="false" outlineLevel="0" collapsed="false">
      <c r="A6" s="9" t="s">
        <v>441</v>
      </c>
      <c r="B6" s="9" t="s">
        <v>50</v>
      </c>
      <c r="C6" s="9" t="s">
        <v>442</v>
      </c>
      <c r="D6" s="33"/>
    </row>
    <row r="7" customFormat="false" ht="15" hidden="false" customHeight="false" outlineLevel="0" collapsed="false">
      <c r="A7" s="9" t="s">
        <v>443</v>
      </c>
      <c r="B7" s="9" t="s">
        <v>50</v>
      </c>
      <c r="C7" s="9" t="s">
        <v>444</v>
      </c>
      <c r="D7" s="33"/>
    </row>
    <row r="8" customFormat="false" ht="15" hidden="false" customHeight="false" outlineLevel="0" collapsed="false">
      <c r="A8" s="9" t="s">
        <v>445</v>
      </c>
      <c r="B8" s="9" t="s">
        <v>50</v>
      </c>
      <c r="C8" s="9" t="s">
        <v>446</v>
      </c>
      <c r="D8" s="33"/>
    </row>
    <row r="9" customFormat="false" ht="25.35" hidden="false" customHeight="false" outlineLevel="0" collapsed="false">
      <c r="A9" s="9" t="s">
        <v>447</v>
      </c>
      <c r="B9" s="9" t="s">
        <v>50</v>
      </c>
      <c r="C9" s="9" t="s">
        <v>448</v>
      </c>
      <c r="D9" s="33"/>
    </row>
    <row r="10" customFormat="false" ht="15" hidden="false" customHeight="false" outlineLevel="0" collapsed="false">
      <c r="A10" s="9" t="s">
        <v>449</v>
      </c>
      <c r="B10" s="9" t="s">
        <v>450</v>
      </c>
      <c r="C10" s="9" t="s">
        <v>451</v>
      </c>
      <c r="D10" s="33"/>
    </row>
    <row r="11" customFormat="false" ht="15" hidden="false" customHeight="false" outlineLevel="0" collapsed="false">
      <c r="A11" s="9" t="s">
        <v>452</v>
      </c>
      <c r="B11" s="9" t="s">
        <v>450</v>
      </c>
      <c r="C11" s="9" t="s">
        <v>453</v>
      </c>
      <c r="D11" s="33"/>
    </row>
    <row r="12" customFormat="false" ht="25.35" hidden="false" customHeight="false" outlineLevel="0" collapsed="false">
      <c r="A12" s="9" t="s">
        <v>454</v>
      </c>
      <c r="B12" s="9" t="s">
        <v>50</v>
      </c>
      <c r="C12" s="9" t="s">
        <v>455</v>
      </c>
      <c r="D12" s="33"/>
    </row>
    <row r="13" customFormat="false" ht="15" hidden="false" customHeight="false" outlineLevel="0" collapsed="false">
      <c r="A13" s="9" t="s">
        <v>456</v>
      </c>
      <c r="B13" s="9" t="s">
        <v>450</v>
      </c>
      <c r="C13" s="9" t="s">
        <v>457</v>
      </c>
      <c r="D13" s="33"/>
    </row>
    <row r="14" customFormat="false" ht="15" hidden="false" customHeight="false" outlineLevel="0" collapsed="false">
      <c r="A14" s="9" t="s">
        <v>456</v>
      </c>
      <c r="B14" s="9" t="s">
        <v>50</v>
      </c>
      <c r="C14" s="9" t="s">
        <v>458</v>
      </c>
      <c r="D14" s="33"/>
    </row>
    <row r="15" customFormat="false" ht="15" hidden="false" customHeight="false" outlineLevel="0" collapsed="false">
      <c r="A15" s="9" t="s">
        <v>459</v>
      </c>
      <c r="B15" s="9" t="s">
        <v>50</v>
      </c>
      <c r="C15" s="9" t="s">
        <v>460</v>
      </c>
      <c r="D15" s="33"/>
    </row>
    <row r="16" customFormat="false" ht="15" hidden="false" customHeight="false" outlineLevel="0" collapsed="false">
      <c r="A16" s="9" t="s">
        <v>461</v>
      </c>
      <c r="B16" s="9" t="s">
        <v>50</v>
      </c>
      <c r="C16" s="9" t="s">
        <v>462</v>
      </c>
      <c r="D16" s="33"/>
    </row>
    <row r="17" customFormat="false" ht="15" hidden="false" customHeight="false" outlineLevel="0" collapsed="false">
      <c r="A17" s="9" t="s">
        <v>463</v>
      </c>
      <c r="B17" s="9" t="s">
        <v>50</v>
      </c>
      <c r="C17" s="9" t="s">
        <v>464</v>
      </c>
      <c r="D1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2026-10-01T08:12:25Z</dcterms:created>
  <dc:creator>openpyxl</dc:creator>
  <dc:description/>
  <dc:language>en-US</dc:language>
  <cp:lastModifiedBy/>
  <dcterms:modified xsi:type="dcterms:W3CDTF">2026-10-01T08:12:26Z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